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EMALATHA\Downloads\"/>
    </mc:Choice>
  </mc:AlternateContent>
  <xr:revisionPtr revIDLastSave="0" documentId="8_{90C89D30-6091-4688-ACE4-4701DA395BDF}" xr6:coauthVersionLast="47" xr6:coauthVersionMax="47" xr10:uidLastSave="{00000000-0000-0000-0000-000000000000}"/>
  <bookViews>
    <workbookView xWindow="-110" yWindow="-110" windowWidth="19420" windowHeight="10300" activeTab="2" xr2:uid="{00000000-000D-0000-FFFF-FFFF00000000}"/>
  </bookViews>
  <sheets>
    <sheet name="RealMart_Sales" sheetId="2" r:id="rId1"/>
    <sheet name="pivot table" sheetId="4" r:id="rId2"/>
    <sheet name="dashboard" sheetId="5" r:id="rId3"/>
  </sheets>
  <definedNames>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 i="4" l="1"/>
  <c r="K26" i="4"/>
  <c r="K25" i="4"/>
  <c r="K24" i="4"/>
</calcChain>
</file>

<file path=xl/sharedStrings.xml><?xml version="1.0" encoding="utf-8"?>
<sst xmlns="http://schemas.openxmlformats.org/spreadsheetml/2006/main" count="15952" uniqueCount="2171">
  <si>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</si>
  <si>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</si>
  <si>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</si>
  <si>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</si>
  <si>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</si>
  <si>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</si>
  <si>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</si>
  <si>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</si>
  <si>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</si>
  <si>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</si>
  <si>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</si>
  <si>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</si>
  <si>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</si>
  <si>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</si>
  <si>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</si>
  <si>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</si>
  <si>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</si>
  <si>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</si>
  <si>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</si>
  <si>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</si>
  <si>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</si>
  <si>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</si>
  <si>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</si>
  <si>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</si>
  <si>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</si>
  <si>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</si>
  <si>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</si>
  <si>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</si>
  <si>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</si>
  <si>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</si>
  <si>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</si>
  <si>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</si>
  <si>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</si>
  <si>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</si>
  <si>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</si>
  <si>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</si>
  <si>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</si>
  <si>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</si>
  <si>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</si>
  <si>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</si>
  <si>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</si>
  <si>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</si>
  <si>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</si>
  <si>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</si>
  <si>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</si>
  <si>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</si>
  <si>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</si>
  <si>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</si>
  <si>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</si>
  <si>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</si>
  <si>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</si>
  <si>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</si>
  <si>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</si>
  <si>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</si>
  <si>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</si>
  <si>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</si>
  <si>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</si>
  <si>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</si>
  <si>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</si>
  <si>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</si>
  <si>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</si>
  <si>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</si>
  <si>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</si>
  <si>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</si>
  <si>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</si>
  <si>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</si>
  <si>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</si>
  <si>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</si>
  <si>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</si>
  <si>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</si>
  <si>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</si>
  <si>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</si>
  <si>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</si>
  <si>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</si>
  <si>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</si>
  <si>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</si>
  <si>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</si>
  <si>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</si>
  <si>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</si>
  <si>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</si>
  <si>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</si>
  <si>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</si>
  <si>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</si>
  <si>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</si>
  <si>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</si>
  <si>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</si>
  <si>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</si>
  <si>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</si>
  <si>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</si>
  <si>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</si>
  <si>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</si>
  <si>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</si>
  <si>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</si>
  <si>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</si>
  <si>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</si>
  <si>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</si>
  <si>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</si>
  <si>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</si>
  <si>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</si>
  <si>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</si>
  <si>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</si>
  <si>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</si>
  <si>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</si>
  <si>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</si>
  <si>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</si>
  <si>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</si>
  <si>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</si>
  <si>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</si>
  <si>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</si>
  <si>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</si>
  <si>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</si>
  <si>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</si>
  <si>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</si>
  <si>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</si>
  <si>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</si>
  <si>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</si>
  <si>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</si>
  <si>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</si>
  <si>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</si>
  <si>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</si>
  <si>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</si>
  <si>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</si>
  <si>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</si>
  <si>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</si>
  <si>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</si>
  <si>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</si>
  <si>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</si>
  <si>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</si>
  <si>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</si>
  <si>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</si>
  <si>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</si>
  <si>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</si>
  <si>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</si>
  <si>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</si>
  <si>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</si>
  <si>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</si>
  <si>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</si>
  <si>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</si>
  <si>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</si>
  <si>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</si>
  <si>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</si>
  <si>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</si>
  <si>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</si>
  <si>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</si>
  <si>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</si>
  <si>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</si>
  <si>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</si>
  <si>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</si>
  <si>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</si>
  <si>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</si>
  <si>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</si>
  <si>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</si>
  <si>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</si>
  <si>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</si>
  <si>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</si>
  <si>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</si>
  <si>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</si>
  <si>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</si>
  <si>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</si>
  <si>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</si>
  <si>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</si>
  <si>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</si>
  <si>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</si>
  <si>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</si>
  <si>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</si>
  <si>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</si>
  <si>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</si>
  <si>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</si>
  <si>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</si>
  <si>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</si>
  <si>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</si>
  <si>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</si>
  <si>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</si>
  <si>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</si>
  <si>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</si>
  <si>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</si>
  <si>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</si>
  <si>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</si>
  <si>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</si>
  <si>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</si>
  <si>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</si>
  <si>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</si>
  <si>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</si>
  <si>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</si>
  <si>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</si>
  <si>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</si>
  <si>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</si>
  <si>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</si>
  <si>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</si>
  <si>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</si>
  <si>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</si>
  <si>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</si>
  <si>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</si>
  <si>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</si>
  <si>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</si>
  <si>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</si>
  <si>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</si>
  <si>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</si>
  <si>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</si>
  <si>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</si>
  <si>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</si>
  <si>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</si>
  <si>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</si>
  <si>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</si>
  <si>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</si>
  <si>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</si>
  <si>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</si>
  <si>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</si>
  <si>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</si>
  <si>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</si>
  <si>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</si>
  <si>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</si>
  <si>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</si>
  <si>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</si>
  <si>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</si>
  <si>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</si>
  <si>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</si>
  <si>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</si>
  <si>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</si>
  <si>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</si>
  <si>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</si>
  <si>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</si>
  <si>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</si>
  <si>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</si>
  <si>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</si>
  <si>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</si>
  <si>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</si>
  <si>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</si>
  <si>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</si>
  <si>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</si>
  <si>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</si>
  <si>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</si>
  <si>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</si>
  <si>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</si>
  <si>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</si>
  <si>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</si>
  <si>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</si>
  <si>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</si>
  <si>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</si>
  <si>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</si>
  <si>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</si>
  <si>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</si>
  <si>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</si>
  <si>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</si>
  <si>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</si>
  <si>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</si>
  <si>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</si>
  <si>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</si>
  <si>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</si>
  <si>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</si>
  <si>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</si>
  <si>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</si>
  <si>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</si>
  <si>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</si>
  <si>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</si>
  <si>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</si>
  <si>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</si>
  <si>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</si>
  <si>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</si>
  <si>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</si>
  <si>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</si>
  <si>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</si>
  <si>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</si>
  <si>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</si>
  <si>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</si>
  <si>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</si>
  <si>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</si>
  <si>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</si>
  <si>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</si>
  <si>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</si>
  <si>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</si>
  <si>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</si>
  <si>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</si>
  <si>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</si>
  <si>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</si>
  <si>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</si>
  <si>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</si>
  <si>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</si>
  <si>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</si>
  <si>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</si>
  <si>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</si>
  <si>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</si>
  <si>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</si>
  <si>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</si>
  <si>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</si>
  <si>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</si>
  <si>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</si>
  <si>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</si>
  <si>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</si>
  <si>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</si>
  <si>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</si>
  <si>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</si>
  <si>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</si>
  <si>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</si>
  <si>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</si>
  <si>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</si>
  <si>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</si>
  <si>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</si>
  <si>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</si>
  <si>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</si>
  <si>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</si>
  <si>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</si>
  <si>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</si>
  <si>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</si>
  <si>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</si>
  <si>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</si>
  <si>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</si>
  <si>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</si>
  <si>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</si>
  <si>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</si>
  <si>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</si>
  <si>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</si>
  <si>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</si>
  <si>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</si>
  <si>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</si>
  <si>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</si>
  <si>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</si>
  <si>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</si>
  <si>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</si>
  <si>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</si>
  <si>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</si>
  <si>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</si>
  <si>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</si>
  <si>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</si>
  <si>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</si>
  <si>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</si>
  <si>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</si>
  <si>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</si>
  <si>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</si>
  <si>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</si>
  <si>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</si>
  <si>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</si>
  <si>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</si>
  <si>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</si>
  <si>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</si>
  <si>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</si>
  <si>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</si>
  <si>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</si>
  <si>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</si>
  <si>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</si>
  <si>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</si>
  <si>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</si>
  <si>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</si>
  <si>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</si>
  <si>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</si>
  <si>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</si>
  <si>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</si>
  <si>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</si>
  <si>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</si>
  <si>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</si>
  <si>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</si>
  <si>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</si>
  <si>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</si>
  <si>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</si>
  <si>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</si>
  <si>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</si>
  <si>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</si>
  <si>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</si>
  <si>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</si>
  <si>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</si>
  <si>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</si>
  <si>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</si>
  <si>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</si>
  <si>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</si>
  <si>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</si>
  <si>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</si>
  <si>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</si>
  <si>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</si>
  <si>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</si>
  <si>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</si>
  <si>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</si>
  <si>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</si>
  <si>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</si>
  <si>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</si>
  <si>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</si>
  <si>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</si>
  <si>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</si>
  <si>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</si>
  <si>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</si>
  <si>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</si>
  <si>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</si>
  <si>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</si>
  <si>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</si>
  <si>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</si>
  <si>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</si>
  <si>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</si>
  <si>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</si>
  <si>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</si>
  <si>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</si>
  <si>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</si>
  <si>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</si>
  <si>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</si>
  <si>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</si>
  <si>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</si>
  <si>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</si>
  <si>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</si>
  <si>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</si>
  <si>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</si>
  <si>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</si>
  <si>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</si>
  <si>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</si>
  <si>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</si>
  <si>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</si>
  <si>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</si>
  <si>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</si>
  <si>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</si>
  <si>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</si>
  <si>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</si>
  <si>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</si>
  <si>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</si>
  <si>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</si>
  <si>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</si>
  <si>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</si>
  <si>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</si>
  <si>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</si>
  <si>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</si>
  <si>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</si>
  <si>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</si>
  <si>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</si>
  <si>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</si>
  <si>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</si>
  <si>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</si>
  <si>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</si>
  <si>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</si>
  <si>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</si>
  <si>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</si>
  <si>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</si>
  <si>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</si>
  <si>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</si>
  <si>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</si>
  <si>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</si>
  <si>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</si>
  <si>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</si>
  <si>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</si>
  <si>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</si>
  <si>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</si>
  <si>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</si>
  <si>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</si>
  <si>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</si>
  <si>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</si>
  <si>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</si>
  <si>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</si>
  <si>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</si>
  <si>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</si>
  <si>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</si>
  <si>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</si>
  <si>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</si>
  <si>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</si>
  <si>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</si>
  <si>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</si>
  <si>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</si>
  <si>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</si>
  <si>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</si>
  <si>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</si>
  <si>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</si>
  <si>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</si>
  <si>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</si>
  <si>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</si>
  <si>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</si>
  <si>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</si>
  <si>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</si>
  <si>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</si>
  <si>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</si>
  <si>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</si>
  <si>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</si>
  <si>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</si>
  <si>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</si>
  <si>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</si>
  <si>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</si>
  <si>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</si>
  <si>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</si>
  <si>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</si>
  <si>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</si>
  <si>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</si>
  <si>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</si>
  <si>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</si>
  <si>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</si>
  <si>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</si>
  <si>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</si>
  <si>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</si>
  <si>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</si>
  <si>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</si>
  <si>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</si>
  <si>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</si>
  <si>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</si>
  <si>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</si>
  <si>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</si>
  <si>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</si>
  <si>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</si>
  <si>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</si>
  <si>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</si>
  <si>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</si>
  <si>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</si>
  <si>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</si>
  <si>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</si>
  <si>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</si>
  <si>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</si>
  <si>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</si>
  <si>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</si>
  <si>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</si>
  <si>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</si>
  <si>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</si>
  <si>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</si>
  <si>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</si>
  <si>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</si>
  <si>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</si>
  <si>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</si>
  <si>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</si>
  <si>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</si>
  <si>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</si>
  <si>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</si>
  <si>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</si>
  <si>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</si>
  <si>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</si>
  <si>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</si>
  <si>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</si>
  <si>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</si>
  <si>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</si>
  <si>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</si>
  <si>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</si>
  <si>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</si>
  <si>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</si>
  <si>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</si>
  <si>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</si>
  <si>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</si>
  <si>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</si>
  <si>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</si>
  <si>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</si>
  <si>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</si>
  <si>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</si>
  <si>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</si>
  <si>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</si>
  <si>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</si>
  <si>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</si>
  <si>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</si>
  <si>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</si>
  <si>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</si>
  <si>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</si>
  <si>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</si>
  <si>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</si>
  <si>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</si>
  <si>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</si>
  <si>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</si>
  <si>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</si>
  <si>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</si>
  <si>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</si>
  <si>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</si>
  <si>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</si>
  <si>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</si>
  <si>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</si>
  <si>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</si>
  <si>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</si>
  <si>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</si>
  <si>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</si>
  <si>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</si>
  <si>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</si>
  <si>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</si>
  <si>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</si>
  <si>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</si>
  <si>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</si>
  <si>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</si>
  <si>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</si>
  <si>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</si>
  <si>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</si>
  <si>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</si>
  <si>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</si>
  <si>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</si>
  <si>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</si>
  <si>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</si>
  <si>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</si>
  <si>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</si>
  <si>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</si>
  <si>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</si>
  <si>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</si>
  <si>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</si>
  <si>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</si>
  <si>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</si>
  <si>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</si>
  <si>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</si>
  <si>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</si>
  <si>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</si>
  <si>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</si>
  <si>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</si>
  <si>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</si>
  <si>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</si>
  <si>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</si>
  <si>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</si>
  <si>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</si>
  <si>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</si>
  <si>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</si>
  <si>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</si>
  <si>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</si>
  <si>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</si>
  <si>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</si>
  <si>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</si>
  <si>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</si>
  <si>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</si>
  <si>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</si>
  <si>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</si>
  <si>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</si>
  <si>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</si>
  <si>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</si>
  <si>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</si>
  <si>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</si>
  <si>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</si>
  <si>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</si>
  <si>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</si>
  <si>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</si>
  <si>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</si>
  <si>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</si>
  <si>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</si>
  <si>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</si>
  <si>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</si>
  <si>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</si>
  <si>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</si>
  <si>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</si>
  <si>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</si>
  <si>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</si>
  <si>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</si>
  <si>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</si>
  <si>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</si>
  <si>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</si>
  <si>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</si>
  <si>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</si>
  <si>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</si>
  <si>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</si>
  <si>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</si>
  <si>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</si>
  <si>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</si>
  <si>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</si>
  <si>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</si>
  <si>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</si>
  <si>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</si>
  <si>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</si>
  <si>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</si>
  <si>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</si>
  <si>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</si>
  <si>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</si>
  <si>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</si>
  <si>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</si>
  <si>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</si>
  <si>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</si>
  <si>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</si>
  <si>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</si>
  <si>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</si>
  <si>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</si>
  <si>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</si>
  <si>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</si>
  <si>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</si>
  <si>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</si>
  <si>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</si>
  <si>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</si>
  <si>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</si>
  <si>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</si>
  <si>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</si>
  <si>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</si>
  <si>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</si>
  <si>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</si>
  <si>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</si>
  <si>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</si>
  <si>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</si>
  <si>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</si>
  <si>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</si>
  <si>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</si>
  <si>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</si>
  <si>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</si>
  <si>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</si>
  <si>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</si>
  <si>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</si>
  <si>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</si>
  <si>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</si>
  <si>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</si>
  <si>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</si>
  <si>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</si>
  <si>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</si>
  <si>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</si>
  <si>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</si>
  <si>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</si>
  <si>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</si>
  <si>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</si>
  <si>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</si>
  <si>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</si>
  <si>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</si>
  <si>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</si>
  <si>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</si>
  <si>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</si>
  <si>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</si>
  <si>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</si>
  <si>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</si>
  <si>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</si>
  <si>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</si>
  <si>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</si>
  <si>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</si>
  <si>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</si>
  <si>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</si>
  <si>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</si>
  <si>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</si>
  <si>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</si>
  <si>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</si>
  <si>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</si>
  <si>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</si>
  <si>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</si>
  <si>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</si>
  <si>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</si>
  <si>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</si>
  <si>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</si>
  <si>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</si>
  <si>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</si>
  <si>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</si>
  <si>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</si>
  <si>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</si>
  <si>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</si>
  <si>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</si>
  <si>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</si>
  <si>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</si>
  <si>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</si>
  <si>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</si>
  <si>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</si>
  <si>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</si>
  <si>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</si>
  <si>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</si>
  <si>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</si>
  <si>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</si>
  <si>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</si>
  <si>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</si>
  <si>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</si>
  <si>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</si>
  <si>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</si>
  <si>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</si>
  <si>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</si>
  <si>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</si>
  <si>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</si>
  <si>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</si>
  <si>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</si>
  <si>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</si>
  <si>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</si>
  <si>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</si>
  <si>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</si>
  <si>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</si>
  <si>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</si>
  <si>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</si>
  <si>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</si>
  <si>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</si>
  <si>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</si>
  <si>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</si>
  <si>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</si>
  <si>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</si>
  <si>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</si>
  <si>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</si>
  <si>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</si>
  <si>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</si>
  <si>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</si>
  <si>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</si>
  <si>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</si>
  <si>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</si>
  <si>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</si>
  <si>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</si>
  <si>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</si>
  <si>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</si>
  <si>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</si>
  <si>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</si>
  <si>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</si>
  <si>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</si>
  <si>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</si>
  <si>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</si>
  <si>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</si>
  <si>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</si>
  <si>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</si>
  <si>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</si>
  <si>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</si>
  <si>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</si>
  <si>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</si>
  <si>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</si>
  <si>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</si>
  <si>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</si>
  <si>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</si>
  <si>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</si>
  <si>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</si>
  <si>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</si>
  <si>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</si>
  <si>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</si>
  <si>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</si>
  <si>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</si>
  <si>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</si>
  <si>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</si>
  <si>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</si>
  <si>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</si>
  <si>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</si>
  <si>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</si>
  <si>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</si>
  <si>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</si>
  <si>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</si>
  <si>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</si>
  <si>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</si>
  <si>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</si>
  <si>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</si>
  <si>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</si>
  <si>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</si>
  <si>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</si>
  <si>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</si>
  <si>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</si>
  <si>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</si>
  <si>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</si>
  <si>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</si>
  <si>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</si>
  <si>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</si>
  <si>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</si>
  <si>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</si>
  <si>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</si>
  <si>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</si>
  <si>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</si>
  <si>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</si>
  <si>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</si>
  <si>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</si>
  <si>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</si>
  <si>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</si>
  <si>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</si>
  <si>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</si>
  <si>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</si>
  <si>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</si>
  <si>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</si>
  <si>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</si>
  <si>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</si>
  <si>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</si>
  <si>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</si>
  <si>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</si>
  <si>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</si>
  <si>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</si>
  <si>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</si>
  <si>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</si>
  <si>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</si>
  <si>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</si>
  <si>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</si>
  <si>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</si>
  <si>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</si>
  <si>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</si>
  <si>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</si>
  <si>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</si>
  <si>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</si>
  <si>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</si>
  <si>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</si>
  <si>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</si>
  <si>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</si>
  <si>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</si>
  <si>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</si>
  <si>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</si>
  <si>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</si>
  <si>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</si>
  <si>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</si>
  <si>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</si>
  <si>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</si>
  <si>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</si>
  <si>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</si>
  <si>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</si>
  <si>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</si>
  <si>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</si>
  <si>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</si>
  <si>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</si>
  <si>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</si>
  <si>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</si>
  <si>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</si>
  <si>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</si>
  <si>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</si>
  <si>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</si>
  <si>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</si>
  <si>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</si>
  <si>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</si>
  <si>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</si>
  <si>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</si>
  <si>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</si>
  <si>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</si>
  <si>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</si>
  <si>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</si>
  <si>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</si>
  <si>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</si>
  <si>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</si>
  <si>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</si>
  <si>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</si>
  <si>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</si>
  <si>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</si>
  <si>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</si>
  <si>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</si>
  <si>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</si>
  <si>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</si>
  <si>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</si>
  <si>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</si>
  <si>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</si>
  <si>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</si>
  <si>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</si>
  <si>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</si>
  <si>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</si>
  <si>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</si>
  <si>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</si>
  <si>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</si>
  <si>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</si>
  <si>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</si>
  <si>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</si>
  <si>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</si>
  <si>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</si>
  <si>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</si>
  <si>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</si>
  <si>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</si>
  <si>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</si>
  <si>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</si>
  <si>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</si>
  <si>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</si>
  <si>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</si>
  <si>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</si>
  <si>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</si>
  <si>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</si>
  <si>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</si>
  <si>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</si>
  <si>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</si>
  <si>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</si>
  <si>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</si>
  <si>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</si>
  <si>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</si>
  <si>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</si>
  <si>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</si>
  <si>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</si>
  <si>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</si>
  <si>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</si>
  <si>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</si>
  <si>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</si>
  <si>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</si>
  <si>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</si>
  <si>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</si>
  <si>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</si>
  <si>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</si>
  <si>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</si>
  <si>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</si>
  <si>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</si>
  <si>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</si>
  <si>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</si>
  <si>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</si>
  <si>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</si>
  <si>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</si>
  <si>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</si>
  <si>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</si>
  <si>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</si>
  <si>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</si>
  <si>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</si>
  <si>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</si>
  <si>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</si>
  <si>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</si>
  <si>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</si>
  <si>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</si>
  <si>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</si>
  <si>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</si>
  <si>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</si>
  <si>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</si>
  <si>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</si>
  <si>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</si>
  <si>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</si>
  <si>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</si>
  <si>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</si>
  <si>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</si>
  <si>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</si>
  <si>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</si>
  <si>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</si>
  <si>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</si>
  <si>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</si>
  <si>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</si>
  <si>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</si>
  <si>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</si>
  <si>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</si>
  <si>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</si>
  <si>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</si>
  <si>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</si>
  <si>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</si>
  <si>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</si>
  <si>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</si>
  <si>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</si>
  <si>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</si>
  <si>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</si>
  <si>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</si>
  <si>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</si>
  <si>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</si>
  <si>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</si>
  <si>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</si>
  <si>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</si>
  <si>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</si>
  <si>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</si>
  <si>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</si>
  <si>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</si>
  <si>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</si>
  <si>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</si>
  <si>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</si>
  <si>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</si>
  <si>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</si>
  <si>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</si>
  <si>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</si>
  <si>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</si>
  <si>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</si>
  <si>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</si>
  <si>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</si>
  <si>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</si>
  <si>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</si>
  <si>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</si>
  <si>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</si>
  <si>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</si>
  <si>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</si>
  <si>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</si>
  <si>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</si>
  <si>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</si>
  <si>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</si>
  <si>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</si>
  <si>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</si>
  <si>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</si>
  <si>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</si>
  <si>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</si>
  <si>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</si>
  <si>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</si>
  <si>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</si>
  <si>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</si>
  <si>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</si>
  <si>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</si>
  <si>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</si>
  <si>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</si>
  <si>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</si>
  <si>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</si>
  <si>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</si>
  <si>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</si>
  <si>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</si>
  <si>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</si>
  <si>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</si>
  <si>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</si>
  <si>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</si>
  <si>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</si>
  <si>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</si>
  <si>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</si>
  <si>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</si>
  <si>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</si>
  <si>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</si>
  <si>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</si>
  <si>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</si>
  <si>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</si>
  <si>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</si>
  <si>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</si>
  <si>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</si>
  <si>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</si>
  <si>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</si>
  <si>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</si>
  <si>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</si>
  <si>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</si>
  <si>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</si>
  <si>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</si>
  <si>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</si>
  <si>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</si>
  <si>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</si>
  <si>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</si>
  <si>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</si>
  <si>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</si>
  <si>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</si>
  <si>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</si>
  <si>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</si>
  <si>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</si>
  <si>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</si>
  <si>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</si>
  <si>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</si>
  <si>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</si>
  <si>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</si>
  <si>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</si>
  <si>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</si>
  <si>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</si>
  <si>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</si>
  <si>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</si>
  <si>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</si>
  <si>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</si>
  <si>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</si>
  <si>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</si>
  <si>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</si>
  <si>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</si>
  <si>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</si>
  <si>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</si>
  <si>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</si>
  <si>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</si>
  <si>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</si>
  <si>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</si>
  <si>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</si>
  <si>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</si>
  <si>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</si>
  <si>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</si>
  <si>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</si>
  <si>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</si>
  <si>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</si>
  <si>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</si>
  <si>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</si>
  <si>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</si>
  <si>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</si>
  <si>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</si>
  <si>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</si>
  <si>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</si>
  <si>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</si>
  <si>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</si>
  <si>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</si>
  <si>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</si>
  <si>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</si>
  <si>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</si>
  <si>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</si>
  <si>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</si>
  <si>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</si>
  <si>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</si>
  <si>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</si>
  <si>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</si>
  <si>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</si>
  <si>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</si>
  <si>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</si>
  <si>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</si>
  <si>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</si>
  <si>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</si>
  <si>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</si>
  <si>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</si>
  <si>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</si>
  <si>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</si>
  <si>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</si>
  <si>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</si>
  <si>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</si>
  <si>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</si>
  <si>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</si>
  <si>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</si>
  <si>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</si>
  <si>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</si>
  <si>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</si>
  <si>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</si>
  <si>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</si>
  <si>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</si>
  <si>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</si>
  <si>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</si>
  <si>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</si>
  <si>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</si>
  <si>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</si>
  <si>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</si>
  <si>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</si>
  <si>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</si>
  <si>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</si>
  <si>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</si>
  <si>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</si>
  <si>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</si>
  <si>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</si>
  <si>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</si>
  <si>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</si>
  <si>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</si>
  <si>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</si>
  <si>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</si>
  <si>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</si>
  <si>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</si>
  <si>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</si>
  <si>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</si>
  <si>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</si>
  <si>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</si>
  <si>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</si>
  <si>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</si>
  <si>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</si>
  <si>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</si>
  <si>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</si>
  <si>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</si>
  <si>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</si>
  <si>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</si>
  <si>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</si>
  <si>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</si>
  <si>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</si>
  <si>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</si>
  <si>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</si>
  <si>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</si>
  <si>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</si>
  <si>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</si>
  <si>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</si>
  <si>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</si>
  <si>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</si>
  <si>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</si>
  <si>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</si>
  <si>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</si>
  <si>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</si>
  <si>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</si>
  <si>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</si>
  <si>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</si>
  <si>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</si>
  <si>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</si>
  <si>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</si>
  <si>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</si>
  <si>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</si>
  <si>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</si>
  <si>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</si>
  <si>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</si>
  <si>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</si>
  <si>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</si>
  <si>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</si>
  <si>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</si>
  <si>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</si>
  <si>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</si>
  <si>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</si>
  <si>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</si>
  <si>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</si>
  <si>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</si>
  <si>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</si>
  <si>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</si>
  <si>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</si>
  <si>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</si>
  <si>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</si>
  <si>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</si>
  <si>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</si>
  <si>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</si>
  <si>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</si>
  <si>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</si>
  <si>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</si>
  <si>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</si>
  <si>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</si>
  <si>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</si>
  <si>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</si>
  <si>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</si>
  <si>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</si>
  <si>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</si>
  <si>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</si>
  <si>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</si>
  <si>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</si>
  <si>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</si>
  <si>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</si>
  <si>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</si>
  <si>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</si>
  <si>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</si>
  <si>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</si>
  <si>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</si>
  <si>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</si>
  <si>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</si>
  <si>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</si>
  <si>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</si>
  <si>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</si>
  <si>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</si>
  <si>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</si>
  <si>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</si>
  <si>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</si>
  <si>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</si>
  <si>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</si>
  <si>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</si>
  <si>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</si>
  <si>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</si>
  <si>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</si>
  <si>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</si>
  <si>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</si>
  <si>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</si>
  <si>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</si>
  <si>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</si>
  <si>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</si>
  <si>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</si>
  <si>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</si>
  <si>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</si>
  <si>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</si>
  <si>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</si>
  <si>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</si>
  <si>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</si>
  <si>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</si>
  <si>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</si>
  <si>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</si>
  <si>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</si>
  <si>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</si>
  <si>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</si>
  <si>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</si>
  <si>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</si>
  <si>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</si>
  <si>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</si>
  <si>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</si>
  <si>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</si>
  <si>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</si>
  <si>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</si>
  <si>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</si>
  <si>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</si>
  <si>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</si>
  <si>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</si>
  <si>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</si>
  <si>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</si>
  <si>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</si>
  <si>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</si>
  <si>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</si>
  <si>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</si>
  <si>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</si>
  <si>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</si>
  <si>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</si>
  <si>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</si>
  <si>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</si>
  <si>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</si>
  <si>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</si>
  <si>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</si>
  <si>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</si>
  <si>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</si>
  <si>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</si>
  <si>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</si>
  <si>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</si>
  <si>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</si>
  <si>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</si>
  <si>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</si>
  <si>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</si>
  <si>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</si>
  <si>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</si>
  <si>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</si>
  <si>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</si>
  <si>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</si>
  <si>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</si>
  <si>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</si>
  <si>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</si>
  <si>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</si>
  <si>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</si>
  <si>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</si>
  <si>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</si>
  <si>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</si>
  <si>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</si>
  <si>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</si>
  <si>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</si>
  <si>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</si>
  <si>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</si>
  <si>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</si>
  <si>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</si>
  <si>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</si>
  <si>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</si>
  <si>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</si>
  <si>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</si>
  <si>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</si>
  <si>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</si>
  <si>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</si>
  <si>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</si>
  <si>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</si>
  <si>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</si>
  <si>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</si>
  <si>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</si>
  <si>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</si>
  <si>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</si>
  <si>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</si>
  <si>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</si>
  <si>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</si>
  <si>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</si>
  <si>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</si>
  <si>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</si>
  <si>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</si>
  <si>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</si>
  <si>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</si>
  <si>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</si>
  <si>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</si>
  <si>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</si>
  <si>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</si>
  <si>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</si>
  <si>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</si>
  <si>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</si>
  <si>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</si>
  <si>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</si>
  <si>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</si>
  <si>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</si>
  <si>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</si>
  <si>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</si>
  <si>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</si>
  <si>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</si>
  <si>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</si>
  <si>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</si>
  <si>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</si>
  <si>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</si>
  <si>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</si>
  <si>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</si>
  <si>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</si>
  <si>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</si>
  <si>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</si>
  <si>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</si>
  <si>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</si>
  <si>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</si>
  <si>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</si>
  <si>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</si>
  <si>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</si>
  <si>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</si>
  <si>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</si>
  <si>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</si>
  <si>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</si>
  <si>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</si>
  <si>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</si>
  <si>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</si>
  <si>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</si>
  <si>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</si>
  <si>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</si>
  <si>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</si>
  <si>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</si>
  <si>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</si>
  <si>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</si>
  <si>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</si>
  <si>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</si>
  <si>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</si>
  <si>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</si>
  <si>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</si>
  <si>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</si>
  <si>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</si>
  <si>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</si>
  <si>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</si>
  <si>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</si>
  <si>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</si>
  <si>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</si>
  <si>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</si>
  <si>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</si>
  <si>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</si>
  <si>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</si>
  <si>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</si>
  <si>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</si>
  <si>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</si>
  <si>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</si>
  <si>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</si>
  <si>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</si>
  <si>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</si>
  <si>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</si>
  <si>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</si>
  <si>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</si>
  <si>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</si>
  <si>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</si>
  <si>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</si>
  <si>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</si>
  <si>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</si>
  <si>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</si>
  <si>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</si>
  <si>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</si>
  <si>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</si>
  <si>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</si>
  <si>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</si>
  <si>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</si>
  <si>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</si>
  <si>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</si>
  <si>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</si>
  <si>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</si>
  <si>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</si>
  <si>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</si>
  <si>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</si>
  <si>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</si>
  <si>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</si>
  <si>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</si>
  <si>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</si>
  <si>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</si>
  <si>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</si>
  <si>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</si>
  <si>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</si>
  <si>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</si>
  <si>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</si>
  <si>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</si>
  <si>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</si>
  <si>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</si>
  <si>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</si>
  <si>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</si>
  <si>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</si>
  <si>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</si>
  <si>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</si>
  <si>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</si>
  <si>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</si>
  <si>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</si>
  <si>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</si>
  <si>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</si>
  <si>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</si>
  <si>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</si>
  <si>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</si>
  <si>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</si>
  <si>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</si>
  <si>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</si>
  <si>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</si>
  <si>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</si>
  <si>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</si>
  <si>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</si>
  <si>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</si>
  <si>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</si>
  <si>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</si>
  <si>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</si>
  <si>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</si>
  <si>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</si>
  <si>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</si>
  <si>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</si>
  <si>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</si>
  <si>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</si>
  <si>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</si>
  <si>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</si>
  <si>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</si>
  <si>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</si>
  <si>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</si>
  <si>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</si>
  <si>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</si>
  <si>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</si>
  <si>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</si>
  <si>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</si>
  <si>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</si>
  <si>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</si>
  <si>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</si>
  <si>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</si>
  <si>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</si>
  <si>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</si>
  <si>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</si>
  <si>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</si>
  <si>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</si>
  <si>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</si>
  <si>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</si>
  <si>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</si>
  <si>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</si>
  <si>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</si>
  <si>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</si>
  <si>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</si>
  <si>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</si>
  <si>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</si>
  <si>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</si>
  <si>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</si>
  <si>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</si>
  <si>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</si>
  <si>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</si>
  <si>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</si>
  <si>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</si>
  <si>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</si>
  <si>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</si>
  <si>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</si>
  <si>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</si>
  <si>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</si>
  <si>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</si>
  <si>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</si>
  <si>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</si>
  <si>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</si>
  <si>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</si>
  <si>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</si>
  <si>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</si>
  <si>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</si>
  <si>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</si>
  <si>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</si>
  <si>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</si>
  <si>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</si>
  <si>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</si>
  <si>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</si>
  <si>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</si>
  <si>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</si>
  <si>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</si>
  <si>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</si>
  <si>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</si>
  <si>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</si>
  <si>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</si>
  <si>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</si>
  <si>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</si>
  <si>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</si>
  <si>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</si>
  <si>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</si>
  <si>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</si>
  <si>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</si>
  <si>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</si>
  <si>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</si>
  <si>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</si>
  <si>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</si>
  <si>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</si>
  <si>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</si>
  <si>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</si>
  <si>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</si>
  <si>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</si>
  <si>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</si>
  <si>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</si>
  <si>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</si>
  <si>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</si>
  <si>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</si>
  <si>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</si>
  <si>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</si>
  <si>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</si>
  <si>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</si>
  <si>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</si>
  <si>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</si>
  <si>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</si>
  <si>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</si>
  <si>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</si>
  <si>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</si>
  <si>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</si>
  <si>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</si>
  <si>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</si>
  <si>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</si>
  <si>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</si>
  <si>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</si>
  <si>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</si>
  <si>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</si>
  <si>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</si>
  <si>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</si>
  <si>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</si>
  <si>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</si>
  <si>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</si>
  <si>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</si>
  <si>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</si>
  <si>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</si>
  <si>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</si>
  <si>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</si>
  <si>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</si>
  <si>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</si>
  <si>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</si>
  <si>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</si>
  <si>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</si>
  <si>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</si>
  <si>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</si>
  <si>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</si>
  <si>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</si>
  <si>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</si>
  <si>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</si>
  <si>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</si>
  <si>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</si>
  <si>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</si>
  <si>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</si>
  <si>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</si>
  <si>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</si>
  <si>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</si>
  <si>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</si>
  <si>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</si>
  <si>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</si>
  <si>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</si>
  <si>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</si>
  <si>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</si>
  <si>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</si>
  <si>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</si>
  <si>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</si>
  <si>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</si>
  <si>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</si>
  <si>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</si>
  <si>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</si>
  <si>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</si>
  <si>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</si>
  <si>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</si>
  <si>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</si>
  <si>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</si>
  <si>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</si>
  <si>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</si>
  <si>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</si>
  <si>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</si>
  <si>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</si>
  <si>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</si>
  <si>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</si>
  <si>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</si>
  <si>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</si>
  <si>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</si>
  <si>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</si>
  <si>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</si>
  <si>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</si>
  <si>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</si>
  <si>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</si>
  <si>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</si>
  <si>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</si>
  <si>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</si>
  <si>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</si>
  <si>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</si>
  <si>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</si>
  <si>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</si>
  <si>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</si>
  <si>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</si>
  <si>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</si>
  <si>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</si>
  <si>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</si>
  <si>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</si>
  <si>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</si>
  <si>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</si>
  <si>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</si>
  <si>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</si>
  <si>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</si>
  <si>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</si>
  <si>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</si>
  <si>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</si>
  <si>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</si>
  <si>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</si>
  <si>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</si>
  <si>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</si>
  <si>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</si>
  <si>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</si>
  <si>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</si>
  <si>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</si>
  <si>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</si>
  <si>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</si>
  <si>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</si>
  <si>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</si>
  <si>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</si>
  <si>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</si>
  <si>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</si>
  <si>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</si>
  <si>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</si>
  <si>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</si>
  <si>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</si>
  <si>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</si>
  <si>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</si>
  <si>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</si>
  <si>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</si>
  <si>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</si>
  <si>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</si>
  <si>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</si>
  <si>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</si>
  <si>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</si>
  <si>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</si>
  <si>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</si>
  <si>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</si>
  <si>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</si>
  <si>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</si>
  <si>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</si>
  <si>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</si>
  <si>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</si>
  <si>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</si>
  <si>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</si>
  <si>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</si>
  <si>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</si>
  <si>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</si>
  <si>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</si>
  <si>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</si>
  <si>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</si>
  <si>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</si>
  <si>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</si>
  <si>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</si>
  <si>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</si>
  <si>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</si>
  <si>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</si>
  <si>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</si>
  <si>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</si>
  <si>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</si>
  <si>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</si>
  <si>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</si>
  <si>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</si>
  <si>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</si>
  <si>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</si>
  <si>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</si>
  <si>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</si>
  <si>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</si>
  <si>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</si>
  <si>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</si>
  <si>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</si>
  <si>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</si>
  <si>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</si>
  <si>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</si>
  <si>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</si>
  <si>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</si>
  <si>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</si>
  <si>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</si>
  <si>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</si>
  <si>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</si>
  <si>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</si>
  <si>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</si>
  <si>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</si>
  <si>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</si>
  <si>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</si>
  <si>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</si>
  <si>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</si>
  <si>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</si>
  <si>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</si>
  <si>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</si>
  <si>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</si>
  <si>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</si>
  <si>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</si>
  <si>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</si>
  <si>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</si>
  <si>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</si>
  <si>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</si>
  <si>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</si>
  <si>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</si>
  <si>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</si>
  <si>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</si>
  <si>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</si>
  <si>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</si>
  <si>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</si>
  <si>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</si>
  <si>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</si>
  <si>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</si>
  <si>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</si>
  <si>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</si>
  <si>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</si>
  <si>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</si>
  <si>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</si>
  <si>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</si>
  <si>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</si>
  <si>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</si>
  <si>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</si>
  <si>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</si>
  <si>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</si>
  <si>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</si>
  <si>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</si>
  <si>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</si>
  <si>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</si>
  <si>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</si>
  <si>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</si>
  <si>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</si>
  <si>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</si>
  <si>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</si>
  <si>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</si>
  <si>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</si>
  <si>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</si>
  <si>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</si>
  <si>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</si>
  <si>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</si>
  <si>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</si>
  <si>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</si>
  <si>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</si>
  <si>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</si>
  <si>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</si>
  <si>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</si>
  <si>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</si>
  <si>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</si>
  <si>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</si>
  <si>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</si>
  <si>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</si>
  <si>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</si>
  <si>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</si>
  <si>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</si>
  <si>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</si>
  <si>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</si>
  <si>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</si>
  <si>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</si>
  <si>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</si>
  <si>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</si>
  <si>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</si>
  <si>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</si>
  <si>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</si>
  <si>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</si>
  <si>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</si>
  <si>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</si>
  <si>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</si>
  <si>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</si>
  <si>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</si>
  <si>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</si>
  <si>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</si>
  <si>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</si>
  <si>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</si>
  <si>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</si>
  <si>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</si>
  <si>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</si>
  <si>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</si>
  <si>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</si>
  <si>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</si>
  <si>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</si>
  <si>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</si>
  <si>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</si>
  <si>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</si>
  <si>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</si>
  <si>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</si>
  <si>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</si>
  <si>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</si>
  <si>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</si>
  <si>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</si>
  <si>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</si>
  <si>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</si>
  <si>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</si>
  <si>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</si>
  <si>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</si>
  <si>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</si>
  <si>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</si>
  <si>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</si>
  <si>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</si>
  <si>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</si>
  <si>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</si>
  <si>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</si>
  <si>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</si>
  <si>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</si>
  <si>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</si>
  <si>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</si>
  <si>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</si>
  <si>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</si>
  <si>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</si>
  <si>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</si>
  <si>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</si>
  <si>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</si>
  <si>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</si>
  <si>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</si>
  <si>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</si>
  <si>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</si>
  <si>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</si>
  <si>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</si>
  <si>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</si>
  <si>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</si>
  <si>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</si>
  <si>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</si>
  <si>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</si>
  <si>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</si>
  <si>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</si>
  <si>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</si>
  <si>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</si>
  <si>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</si>
  <si>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</si>
  <si>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</si>
  <si>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</si>
  <si>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</si>
  <si>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</si>
  <si>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</si>
  <si>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</si>
  <si>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</si>
  <si>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</si>
  <si>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</si>
  <si>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</si>
  <si>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</si>
  <si>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</si>
  <si>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</si>
  <si>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</si>
  <si>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</si>
  <si>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</si>
  <si>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</si>
  <si>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</si>
  <si>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</si>
  <si>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</si>
  <si>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</si>
  <si>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</si>
  <si>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</si>
  <si>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</si>
  <si>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</si>
  <si>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</si>
  <si>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</si>
  <si>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</si>
  <si>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</si>
  <si>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</si>
  <si>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</si>
  <si>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</si>
  <si>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</si>
  <si>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</si>
  <si>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</si>
  <si>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</si>
  <si>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</si>
  <si>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</si>
  <si>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</si>
  <si>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</si>
  <si>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</si>
  <si>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</si>
  <si>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</si>
  <si>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</si>
  <si>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</si>
  <si>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</si>
  <si>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</si>
  <si>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</si>
  <si>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</si>
  <si>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</si>
  <si>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</si>
  <si>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</si>
  <si>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</si>
  <si>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</si>
  <si>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</si>
  <si>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</si>
  <si>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</si>
  <si>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</si>
  <si>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</si>
  <si>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</si>
  <si>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</si>
  <si>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</si>
  <si>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</si>
  <si>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</si>
  <si>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</si>
  <si>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</si>
  <si>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</si>
  <si>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</si>
  <si>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</si>
  <si>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</si>
  <si>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</si>
  <si>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</si>
  <si>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</si>
  <si>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</si>
  <si>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</si>
  <si>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</si>
  <si>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</si>
  <si>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</si>
  <si>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</si>
  <si>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</si>
  <si>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</si>
  <si>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</si>
  <si>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</si>
  <si>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</si>
  <si>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</si>
  <si>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</si>
  <si>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</si>
  <si>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</si>
  <si>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</si>
  <si>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</si>
  <si>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</si>
  <si>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</si>
  <si>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</si>
  <si>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</si>
  <si>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</si>
  <si>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</si>
  <si>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</si>
  <si>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</si>
  <si>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</si>
  <si>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</si>
  <si>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</si>
  <si>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</si>
  <si>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</si>
  <si>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</si>
  <si>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</si>
  <si>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</si>
  <si>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</si>
  <si>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</si>
  <si>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</si>
  <si>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</si>
  <si>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</si>
  <si>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</si>
  <si>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</si>
  <si>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</si>
  <si>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</si>
  <si>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</si>
  <si>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</si>
  <si>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</si>
  <si>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</si>
  <si>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</si>
  <si>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</si>
  <si>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</si>
  <si>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</si>
  <si>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</si>
  <si>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</si>
  <si>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</si>
  <si>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</si>
  <si>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</si>
  <si>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</si>
  <si>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</si>
  <si>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</si>
  <si>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</si>
  <si>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</si>
  <si>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</si>
  <si>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</si>
  <si>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</si>
  <si>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</si>
  <si>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</si>
  <si>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</si>
  <si>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</si>
  <si>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</si>
  <si>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</si>
  <si>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</si>
  <si>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</si>
  <si>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</si>
  <si>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</si>
  <si>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</si>
  <si>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</si>
  <si>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</si>
  <si>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</si>
  <si>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</si>
  <si>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</si>
  <si>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</si>
  <si>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</si>
  <si>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</si>
  <si>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</si>
  <si>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</si>
  <si>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</si>
  <si>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</si>
  <si>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</si>
  <si>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</si>
  <si>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</si>
  <si>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</si>
  <si>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</si>
  <si>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</si>
  <si>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</si>
  <si>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</si>
  <si>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</si>
  <si>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</si>
  <si>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</si>
  <si>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</si>
  <si>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</si>
  <si>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</si>
  <si>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</si>
  <si>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</si>
  <si>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</si>
  <si>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</si>
  <si>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</si>
  <si>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</si>
  <si>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</si>
  <si>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</si>
  <si>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</si>
  <si>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</si>
  <si>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</si>
  <si>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</si>
  <si>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</si>
  <si>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</si>
  <si>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</si>
  <si>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</si>
  <si>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</si>
  <si>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</si>
  <si>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</si>
  <si>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</si>
  <si>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</si>
  <si>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</si>
  <si>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</si>
  <si>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</si>
  <si>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</si>
  <si>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</si>
  <si>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</si>
  <si>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</si>
  <si>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</si>
  <si>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</si>
  <si>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</si>
  <si>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</si>
  <si>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</si>
  <si>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</si>
  <si>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</si>
  <si>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</si>
  <si>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</si>
  <si>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</si>
  <si>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</si>
  <si>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</si>
  <si>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</si>
  <si>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</si>
  <si>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</si>
  <si>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</si>
  <si>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</si>
  <si>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</si>
  <si>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</si>
  <si>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</si>
  <si>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</si>
  <si>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</si>
  <si>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</si>
  <si>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</si>
  <si>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</si>
  <si>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</si>
  <si>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</si>
  <si>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</si>
  <si>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</si>
  <si>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</si>
  <si>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</si>
  <si>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</si>
  <si>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</si>
  <si>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</si>
  <si>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</si>
  <si>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</si>
  <si>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</si>
  <si>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</si>
  <si>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</si>
  <si>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</si>
  <si>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</si>
  <si>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</si>
  <si>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</si>
  <si>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</si>
  <si>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</si>
  <si>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</si>
  <si>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</si>
  <si>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</si>
  <si>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</si>
  <si>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</si>
  <si>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</si>
  <si>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</si>
  <si>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</si>
  <si>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</si>
  <si>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</si>
  <si>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</si>
  <si>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</si>
  <si>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</si>
  <si>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</si>
  <si>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</si>
  <si>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</si>
  <si>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</si>
  <si>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</si>
  <si>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</si>
  <si>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</si>
  <si>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</si>
  <si>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</si>
  <si>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</si>
  <si>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</si>
  <si>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</si>
  <si>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</si>
  <si>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</si>
  <si>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</si>
  <si>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</si>
  <si>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</si>
  <si>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</si>
  <si>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</si>
  <si>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</si>
  <si>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</si>
  <si>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</si>
  <si>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</si>
  <si>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</si>
  <si>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</si>
  <si>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</si>
  <si>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</si>
  <si>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</si>
  <si>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</si>
  <si>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</si>
  <si>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</si>
  <si>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</si>
  <si>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</si>
  <si>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</si>
  <si>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</si>
  <si>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</si>
  <si>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</si>
  <si>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 PM</t>
  </si>
  <si>
    <t>2 PM</t>
  </si>
  <si>
    <t>3 PM</t>
  </si>
  <si>
    <t>6 PM</t>
  </si>
  <si>
    <t>Count of Invoice ID</t>
  </si>
  <si>
    <t>8 PM</t>
  </si>
  <si>
    <t>10 AM</t>
  </si>
  <si>
    <t>11 AM</t>
  </si>
  <si>
    <t>12 PM</t>
  </si>
  <si>
    <t>4 PM</t>
  </si>
  <si>
    <t>5 PM</t>
  </si>
  <si>
    <t>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</si>
</sst>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5" formatCode="dd/mm/yy"/>
    <numFmt numFmtId="166" formatCode="d/m/yyyy"/>
    <numFmt numFmtId="167" formatCode="_ [$₹-4009]\ * #,##0.00_ ;_ [$₹-4009]\ * \-#,##0.00_ ;_ [$₹-4009]\ * &quot;-&quot;??_ ;_ @_ "/>
    <numFmt numFmtId="168" formatCode="0.0"/>
  </numFmts>
  <fonts count="3" x14ac:knownFonts="1">
    <font>
      <sz val="10"/>
      <color rgb="FF000000"/>
      <name val="Arial"/>
      <scheme val="minor"/>
    </font>
    <font>
      <sz val="10"/>
      <color theme="1"/>
      <name val="Arial"/>
    </font>
    <font>
      <sz val="10"/>
      <color rgb="FF000000"/>
      <name val="Arial"/>
      <scheme val="minor"/>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indexed="65"/>
      </left>
      <right/>
      <top style="thin">
        <color rgb="FFABABAB"/>
      </top>
      <bottom/>
      <diagonal/>
    </border>
    <border>
      <left/>
      <right/>
      <top style="thin">
        <color rgb="FFABABAB"/>
      </top>
      <bottom/>
      <diagonal/>
    </border>
    <border>
      <left/>
      <right/>
      <top style="thin">
        <color rgb="FFABABAB"/>
      </top>
      <bottom style="thin">
        <color rgb="FFABABAB"/>
      </bottom>
      <diagonal/>
    </border>
    <border>
      <left/>
      <right style="thin">
        <color rgb="FFABABAB"/>
      </right>
      <top style="thin">
        <color indexed="65"/>
      </top>
      <bottom/>
      <diagonal/>
    </border>
    <border>
      <left/>
      <right/>
      <top style="thin">
        <color indexed="65"/>
      </top>
      <bottom/>
      <diagonal/>
    </border>
  </borders>
  <cellStyleXfs count="2">
    <xf numFmtId="0" fontId="0" fillId="0" borderId="0"/>
    <xf numFmtId="44" fontId="2" fillId="0" borderId="0" applyFont="0" applyFill="0" applyBorder="0" applyAlignment="0" applyProtection="0"/>
  </cellStyleXfs>
  <cellXfs count="32">
    <xf numFmtId="0" fontId="0" fillId="0" borderId="0" xfId="0"/>
    <xf numFmtId="0" fontId="1" fillId="0" borderId="0" xfId="0" applyFont="1" applyAlignment="1">
      <alignment horizontal="center"/>
    </xf>
    <xf numFmtId="165" fontId="1" fillId="0" borderId="0" xfId="0" applyNumberFormat="1" applyFont="1" applyAlignment="1">
      <alignment horizontal="center"/>
    </xf>
    <xf numFmtId="21" fontId="1" fillId="0" borderId="0" xfId="0" applyNumberFormat="1" applyFont="1" applyAlignment="1">
      <alignment horizontal="center"/>
    </xf>
    <xf numFmtId="166" fontId="1" fillId="0" borderId="0" xfId="0" applyNumberFormat="1" applyFont="1" applyAlignment="1">
      <alignment horizontal="center"/>
    </xf>
    <xf numFmtId="0" fontId="0" fillId="0" borderId="1" xfId="0" applyBorder="1"/>
    <xf numFmtId="0" fontId="0" fillId="0" borderId="2" xfId="0" applyBorder="1"/>
    <xf numFmtId="0" fontId="0" fillId="0" borderId="4" xfId="0" pivotButton="1" applyBorder="1"/>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1" xfId="0" pivotButton="1" applyBorder="1"/>
    <xf numFmtId="0" fontId="0" fillId="0" borderId="4" xfId="0" applyBorder="1"/>
    <xf numFmtId="0" fontId="0" fillId="0" borderId="1" xfId="0" applyBorder="1" applyAlignment="1">
      <alignment horizontal="left"/>
    </xf>
    <xf numFmtId="0" fontId="0" fillId="0" borderId="3" xfId="0" applyBorder="1" applyAlignment="1">
      <alignment horizontal="left"/>
    </xf>
    <xf numFmtId="0" fontId="0" fillId="0" borderId="7" xfId="0" applyBorder="1" applyAlignment="1">
      <alignment horizontal="left"/>
    </xf>
    <xf numFmtId="14" fontId="0" fillId="0" borderId="5" xfId="0" applyNumberFormat="1" applyBorder="1" applyAlignment="1">
      <alignment horizontal="left"/>
    </xf>
    <xf numFmtId="14" fontId="0" fillId="0" borderId="3" xfId="0" applyNumberFormat="1" applyBorder="1" applyAlignment="1">
      <alignment horizontal="left"/>
    </xf>
    <xf numFmtId="0" fontId="0" fillId="0" borderId="8" xfId="0" applyBorder="1"/>
    <xf numFmtId="167" fontId="0" fillId="0" borderId="0" xfId="0" applyNumberFormat="1"/>
    <xf numFmtId="167" fontId="0" fillId="0" borderId="0" xfId="1" applyNumberFormat="1" applyFont="1"/>
    <xf numFmtId="168" fontId="0" fillId="0" borderId="0" xfId="0" applyNumberFormat="1"/>
    <xf numFmtId="0" fontId="0" fillId="0" borderId="6" xfId="0" applyBorder="1"/>
    <xf numFmtId="0" fontId="0" fillId="0" borderId="7" xfId="0" applyBorder="1"/>
    <xf numFmtId="0" fontId="0" fillId="0" borderId="9" xfId="0" applyBorder="1"/>
    <xf numFmtId="0" fontId="0" fillId="0" borderId="5" xfId="0" applyBorder="1"/>
    <xf numFmtId="0" fontId="0" fillId="0" borderId="10" xfId="0" applyBorder="1"/>
    <xf numFmtId="0" fontId="0" fillId="0" borderId="11" xfId="0" applyBorder="1"/>
    <xf numFmtId="0" fontId="0" fillId="0" borderId="12" xfId="0" applyBorder="1"/>
    <xf numFmtId="0" fontId="0" fillId="0" borderId="3" xfId="0" applyBorder="1"/>
    <xf numFmtId="0" fontId="0" fillId="0" borderId="13" xfId="0" applyBorder="1"/>
    <xf numFmtId="0" fontId="0" fillId="0" borderId="14" xfId="0" applyBorder="1"/>
  </cellXfs>
  <cellStyles count="2">
    <cellStyle name="Currency" xfId="1" builtinId="4"/>
    <cellStyle name="Normal" xfId="0" builtinId="0"/>
  </cellStyles>
  <dxfs count="8">
    <dxf>
      <font>
        <sz val="11"/>
        <color rgb="FF0070C0"/>
        <name val="Arial"/>
        <family val="2"/>
        <scheme val="minor"/>
      </font>
      <fill>
        <patternFill>
          <bgColor theme="3"/>
        </patternFill>
      </fill>
    </dxf>
    <dxf>
      <font>
        <color theme="4"/>
      </font>
      <fill>
        <patternFill patternType="solid">
          <fgColor theme="0"/>
          <bgColor theme="3"/>
        </patternFill>
      </fill>
      <border>
        <left style="thin">
          <color theme="1" tint="-0.499984740745262"/>
        </left>
        <right style="thin">
          <color theme="1" tint="-0.499984740745262"/>
        </right>
        <top style="thin">
          <color theme="1" tint="-0.499984740745262"/>
        </top>
        <bottom style="thin">
          <color theme="1" tint="-0.499984740745262"/>
        </bottom>
      </border>
    </dxf>
    <dxf>
      <font>
        <color rgb="FF00B0F0"/>
      </font>
      <fill>
        <patternFill>
          <bgColor theme="3"/>
        </patternFill>
      </fill>
    </dxf>
    <dxf>
      <font>
        <b/>
        <i val="0"/>
        <sz val="11"/>
        <color theme="1"/>
      </font>
      <fill>
        <patternFill>
          <fgColor auto="1"/>
          <bgColor theme="3"/>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4">
    <tableStyle name="Excel_10AM_Oct_27th_Project_Sub-style" pivot="0" count="4" xr9:uid="{00000000-0011-0000-FFFF-FFFF00000000}">
      <tableStyleElement type="wholeTable" size="0" dxfId="7"/>
      <tableStyleElement type="headerRow" dxfId="6"/>
      <tableStyleElement type="firstRowStripe" dxfId="5"/>
      <tableStyleElement type="secondRowStripe" dxfId="4"/>
    </tableStyle>
    <tableStyle name="Slicer Style 1" pivot="0" table="0" count="0" xr9:uid="{903E8578-06C7-4BE9-86E2-E07ED3D4B48C}"/>
    <tableStyle name="Slicer Style 2" pivot="0" table="0" count="10" xr9:uid="{4F78A4E5-7F58-4ABA-BA3C-B12E10C4E04C}">
      <tableStyleElement type="wholeTable" dxfId="3"/>
      <tableStyleElement type="headerRow" dxfId="2"/>
    </tableStyle>
    <tableStyle name="Timeline Style 1" pivot="0" table="0" count="9" xr9:uid="{5CC3EC38-81CC-46C4-886D-420F422C7086}">
      <tableStyleElement type="wholeTable" dxfId="1"/>
      <tableStyleElement type="headerRow" dxfId="0"/>
    </tableStyle>
  </tableStyles>
  <extLst>
    <ext xmlns:x14="http://schemas.microsoft.com/office/spreadsheetml/2009/9/main" uri="{46F421CA-312F-682f-3DD2-61675219B42D}">
      <x14:dxfs count="8">
        <dxf>
          <font>
            <b/>
            <i val="0"/>
            <sz val="11"/>
            <color theme="3"/>
          </font>
          <fill>
            <patternFill>
              <bgColor rgb="FF0070C0"/>
            </patternFill>
          </fill>
        </dxf>
        <dxf>
          <font>
            <b/>
            <i val="0"/>
            <sz val="11"/>
            <color theme="3"/>
          </font>
          <fill>
            <patternFill>
              <bgColor rgb="FF0070C0"/>
            </patternFill>
          </fill>
        </dxf>
        <dxf>
          <font>
            <b/>
            <i val="0"/>
            <sz val="11"/>
            <color theme="3"/>
          </font>
          <fill>
            <patternFill>
              <bgColor rgb="FF0070C0"/>
            </patternFill>
          </fill>
        </dxf>
        <dxf>
          <font>
            <b/>
            <i val="0"/>
            <sz val="11"/>
            <color theme="3"/>
          </font>
          <fill>
            <patternFill patternType="solid">
              <bgColor rgb="FF0070C0"/>
            </patternFill>
          </fill>
        </dxf>
        <dxf>
          <font>
            <b/>
            <i val="0"/>
            <sz val="11"/>
            <color theme="3"/>
          </font>
          <fill>
            <patternFill>
              <bgColor rgb="FF0070C0"/>
            </patternFill>
          </fill>
          <border>
            <left style="thin">
              <color rgb="FF00B0F0"/>
            </left>
            <right style="thin">
              <color rgb="FF00B0F0"/>
            </right>
            <top style="thin">
              <color rgb="FF00B0F0"/>
            </top>
            <bottom style="thin">
              <color rgb="FF00B0F0"/>
            </bottom>
          </border>
        </dxf>
        <dxf>
          <font>
            <b/>
            <i val="0"/>
            <sz val="11"/>
            <color theme="1"/>
          </font>
          <fill>
            <patternFill>
              <bgColor theme="4"/>
            </patternFill>
          </fill>
          <border>
            <left style="thin">
              <color auto="1"/>
            </left>
            <right style="thin">
              <color auto="1"/>
            </right>
            <top style="thin">
              <color auto="1"/>
            </top>
            <bottom style="thin">
              <color auto="1"/>
            </bottom>
          </border>
        </dxf>
        <dxf>
          <font>
            <b/>
            <i val="0"/>
            <sz val="11"/>
            <color theme="3"/>
          </font>
          <fill>
            <patternFill>
              <bgColor rgb="FF0070C0"/>
            </patternFill>
          </fill>
        </dxf>
        <dxf>
          <font>
            <b/>
            <i val="0"/>
            <sz val="11"/>
            <color theme="3"/>
          </font>
          <fill>
            <patternFill>
              <bgColor rgb="FF0070C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0070C0"/>
            </patternFill>
          </fill>
        </dxf>
        <dxf>
          <fill>
            <patternFill patternType="solid">
              <fgColor theme="0" tint="-0.14993743705557422"/>
              <bgColor rgb="FF0070C0"/>
            </patternFill>
          </fill>
        </dxf>
        <dxf>
          <fill>
            <patternFill patternType="solid">
              <fgColor theme="0"/>
              <bgColor rgb="FF0070C0"/>
            </patternFill>
          </fill>
        </dxf>
        <dxf>
          <font>
            <b/>
            <i val="0"/>
            <sz val="9"/>
            <color rgb="FF0070C0"/>
            <name val="Arial"/>
            <family val="2"/>
            <scheme val="minor"/>
          </font>
        </dxf>
        <dxf>
          <font>
            <sz val="9"/>
            <color rgb="FF0070C0"/>
            <name val="Arial"/>
            <family val="2"/>
            <scheme val="minor"/>
          </font>
        </dxf>
        <dxf>
          <font>
            <sz val="9"/>
            <color rgb="FF0070C0"/>
            <name val="Arial"/>
            <family val="2"/>
            <scheme val="minor"/>
          </font>
        </dxf>
        <dxf>
          <font>
            <b/>
            <i val="0"/>
            <sz val="10"/>
            <color rgb="FF0070C0"/>
            <name val="Arial"/>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solidFill>
              </a:rPr>
              <a:t>Total</a:t>
            </a:r>
            <a:r>
              <a:rPr lang="en-US" b="1" baseline="0">
                <a:solidFill>
                  <a:schemeClr val="accent1"/>
                </a:solidFill>
              </a:rPr>
              <a:t> sales by city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table'!$B$5:$B$8</c:f>
              <c:strCache>
                <c:ptCount val="3"/>
                <c:pt idx="0">
                  <c:v>Mumbai</c:v>
                </c:pt>
                <c:pt idx="1">
                  <c:v>Hyderabad</c:v>
                </c:pt>
                <c:pt idx="2">
                  <c:v>Delhi</c:v>
                </c:pt>
              </c:strCache>
            </c:strRef>
          </c:cat>
          <c:val>
            <c:numRef>
              <c:f>'pivot table'!$C$5:$C$8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B3D5-42FF-8713-38090F0AFAB1}"/>
            </c:ext>
          </c:extLst>
        </c:ser>
        <c:dLbls>
          <c:dLblPos val="outEnd"/>
          <c:showLegendKey val="0"/>
          <c:showVal val="1"/>
          <c:showCatName val="0"/>
          <c:showSerName val="0"/>
          <c:showPercent val="0"/>
          <c:showBubbleSize val="0"/>
        </c:dLbls>
        <c:gapWidth val="219"/>
        <c:overlap val="-27"/>
        <c:axId val="280002767"/>
        <c:axId val="289188543"/>
      </c:barChart>
      <c:catAx>
        <c:axId val="280002767"/>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solidFill>
                      <a:schemeClr val="accent1"/>
                    </a:solidFill>
                  </a:rPr>
                  <a:t>city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89188543"/>
        <c:crosses val="autoZero"/>
        <c:auto val="1"/>
        <c:lblAlgn val="ctr"/>
        <c:lblOffset val="100"/>
        <c:noMultiLvlLbl val="0"/>
      </c:catAx>
      <c:valAx>
        <c:axId val="289188543"/>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solidFill>
                      <a:schemeClr val="accent1"/>
                    </a:solidFill>
                  </a:rPr>
                  <a:t>Sum</a:t>
                </a:r>
                <a:r>
                  <a:rPr lang="en-IN" b="1" baseline="0">
                    <a:solidFill>
                      <a:schemeClr val="accent1"/>
                    </a:solidFill>
                  </a:rPr>
                  <a:t> of Total Value</a:t>
                </a:r>
                <a:endParaRPr lang="en-IN" b="1">
                  <a:solidFill>
                    <a:schemeClr val="accent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28000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table!PivotTable2</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Sales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94444444444431E-2"/>
          <c:y val="0.27259040536599594"/>
          <c:w val="0.84011089238845149"/>
          <c:h val="0.62565033537474479"/>
        </c:manualLayout>
      </c:layout>
      <c:barChart>
        <c:barDir val="bar"/>
        <c:grouping val="clustered"/>
        <c:varyColors val="0"/>
        <c:ser>
          <c:idx val="0"/>
          <c:order val="0"/>
          <c:tx>
            <c:strRef>
              <c:f>'pivot table'!$C$10</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table'!$B$11:$B$14</c:f>
              <c:strCache>
                <c:ptCount val="3"/>
                <c:pt idx="0">
                  <c:v>C</c:v>
                </c:pt>
                <c:pt idx="1">
                  <c:v>A</c:v>
                </c:pt>
                <c:pt idx="2">
                  <c:v>B</c:v>
                </c:pt>
              </c:strCache>
            </c:strRef>
          </c:cat>
          <c:val>
            <c:numRef>
              <c:f>'pivot table'!$C$11:$C$14</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2149-4021-86B5-F294F9D17C02}"/>
            </c:ext>
          </c:extLst>
        </c:ser>
        <c:dLbls>
          <c:dLblPos val="outEnd"/>
          <c:showLegendKey val="0"/>
          <c:showVal val="1"/>
          <c:showCatName val="0"/>
          <c:showSerName val="0"/>
          <c:showPercent val="0"/>
          <c:showBubbleSize val="0"/>
        </c:dLbls>
        <c:gapWidth val="182"/>
        <c:axId val="279986527"/>
        <c:axId val="460164063"/>
      </c:barChart>
      <c:catAx>
        <c:axId val="279986527"/>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N" b="1">
                    <a:solidFill>
                      <a:schemeClr val="accent1"/>
                    </a:solidFill>
                  </a:rPr>
                  <a:t>Branch</a:t>
                </a:r>
              </a:p>
            </c:rich>
          </c:tx>
          <c:layout>
            <c:manualLayout>
              <c:xMode val="edge"/>
              <c:yMode val="edge"/>
              <c:x val="4.1528306785244259E-2"/>
              <c:y val="0.498096996430796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crossAx val="460164063"/>
        <c:crosses val="autoZero"/>
        <c:auto val="1"/>
        <c:lblAlgn val="ctr"/>
        <c:lblOffset val="100"/>
        <c:noMultiLvlLbl val="0"/>
      </c:catAx>
      <c:valAx>
        <c:axId val="460164063"/>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N" b="1">
                    <a:solidFill>
                      <a:schemeClr val="accent1"/>
                    </a:solidFill>
                  </a:rPr>
                  <a:t> Sum</a:t>
                </a:r>
                <a:r>
                  <a:rPr lang="en-IN" b="1" baseline="0">
                    <a:solidFill>
                      <a:schemeClr val="accent1"/>
                    </a:solidFill>
                  </a:rPr>
                  <a:t> Of Values</a:t>
                </a:r>
              </a:p>
            </c:rich>
          </c:tx>
          <c:layout>
            <c:manualLayout>
              <c:xMode val="edge"/>
              <c:yMode val="edge"/>
              <c:x val="0.41165266841644799"/>
              <c:y val="0.8981481481481481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crossAx val="27998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solidFill>
              </a:rPr>
              <a:t>Monthly</a:t>
            </a:r>
            <a:r>
              <a:rPr lang="en-US" b="1" baseline="0">
                <a:solidFill>
                  <a:schemeClr val="accent1"/>
                </a:solidFill>
              </a:rPr>
              <a:t> sales trend</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50800" dir="5400000" algn="ctr" rotWithShape="0">
              <a:schemeClr val="tx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table'!$C$16</c:f>
              <c:strCache>
                <c:ptCount val="1"/>
                <c:pt idx="0">
                  <c:v>Total</c:v>
                </c:pt>
              </c:strCache>
            </c:strRef>
          </c:tx>
          <c:spPr>
            <a:ln w="28575" cap="rnd">
              <a:solidFill>
                <a:schemeClr val="accent1"/>
              </a:solidFill>
              <a:round/>
            </a:ln>
            <a:effectLst>
              <a:outerShdw blurRad="50800" dist="50800" dir="5400000" algn="ctr" rotWithShape="0">
                <a:schemeClr val="tx2"/>
              </a:outerShdw>
            </a:effectLst>
          </c:spPr>
          <c:marker>
            <c:symbol val="none"/>
          </c:marker>
          <c:cat>
            <c:strRef>
              <c:f>'pivot table'!$B$17:$B$106</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1/1/2019</c:v>
                </c:pt>
                <c:pt idx="54">
                  <c:v>1/2/2019</c:v>
                </c:pt>
                <c:pt idx="55">
                  <c:v>1/3/2019</c:v>
                </c:pt>
                <c:pt idx="56">
                  <c:v>2/1/2019</c:v>
                </c:pt>
                <c:pt idx="57">
                  <c:v>2/2/2019</c:v>
                </c:pt>
                <c:pt idx="58">
                  <c:v>2/3/2019</c:v>
                </c:pt>
                <c:pt idx="59">
                  <c:v>3/1/2019</c:v>
                </c:pt>
                <c:pt idx="60">
                  <c:v>3/2/2019</c:v>
                </c:pt>
                <c:pt idx="61">
                  <c:v>3/3/2019</c:v>
                </c:pt>
                <c:pt idx="62">
                  <c:v>4/1/2019</c:v>
                </c:pt>
                <c:pt idx="63">
                  <c:v>4/2/2019</c:v>
                </c:pt>
                <c:pt idx="64">
                  <c:v>4/3/2019</c:v>
                </c:pt>
                <c:pt idx="65">
                  <c:v>5/1/2019</c:v>
                </c:pt>
                <c:pt idx="66">
                  <c:v>5/2/2019</c:v>
                </c:pt>
                <c:pt idx="67">
                  <c:v>5/3/2019</c:v>
                </c:pt>
                <c:pt idx="68">
                  <c:v>6/1/2019</c:v>
                </c:pt>
                <c:pt idx="69">
                  <c:v>6/2/2019</c:v>
                </c:pt>
                <c:pt idx="70">
                  <c:v>6/3/2019</c:v>
                </c:pt>
                <c:pt idx="71">
                  <c:v>7/1/2019</c:v>
                </c:pt>
                <c:pt idx="72">
                  <c:v>7/2/2019</c:v>
                </c:pt>
                <c:pt idx="73">
                  <c:v>7/3/2019</c:v>
                </c:pt>
                <c:pt idx="74">
                  <c:v>8/1/2019</c:v>
                </c:pt>
                <c:pt idx="75">
                  <c:v>8/2/2019</c:v>
                </c:pt>
                <c:pt idx="76">
                  <c:v>8/3/2019</c:v>
                </c:pt>
                <c:pt idx="77">
                  <c:v>9/1/2019</c:v>
                </c:pt>
                <c:pt idx="78">
                  <c:v>9/2/2019</c:v>
                </c:pt>
                <c:pt idx="79">
                  <c:v>9/3/2019</c:v>
                </c:pt>
                <c:pt idx="80">
                  <c:v>10/1/2019</c:v>
                </c:pt>
                <c:pt idx="81">
                  <c:v>10/2/2019</c:v>
                </c:pt>
                <c:pt idx="82">
                  <c:v>10/3/2019</c:v>
                </c:pt>
                <c:pt idx="83">
                  <c:v>11/1/2019</c:v>
                </c:pt>
                <c:pt idx="84">
                  <c:v>11/2/2019</c:v>
                </c:pt>
                <c:pt idx="85">
                  <c:v>11/3/2019</c:v>
                </c:pt>
                <c:pt idx="86">
                  <c:v>12/1/2019</c:v>
                </c:pt>
                <c:pt idx="87">
                  <c:v>12/2/2019</c:v>
                </c:pt>
                <c:pt idx="88">
                  <c:v>12/3/2019</c:v>
                </c:pt>
              </c:strCache>
            </c:strRef>
          </c:cat>
          <c:val>
            <c:numRef>
              <c:f>'pivot table'!$C$17:$C$106</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9086-42D1-9833-F2B66F1B55F2}"/>
            </c:ext>
          </c:extLst>
        </c:ser>
        <c:dLbls>
          <c:showLegendKey val="0"/>
          <c:showVal val="0"/>
          <c:showCatName val="0"/>
          <c:showSerName val="0"/>
          <c:showPercent val="0"/>
          <c:showBubbleSize val="0"/>
        </c:dLbls>
        <c:smooth val="0"/>
        <c:axId val="1596292335"/>
        <c:axId val="289175583"/>
      </c:lineChart>
      <c:catAx>
        <c:axId val="15962923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solidFill>
                      <a:schemeClr val="accent1"/>
                    </a:solidFill>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289175583"/>
        <c:crosses val="autoZero"/>
        <c:auto val="1"/>
        <c:lblAlgn val="ctr"/>
        <c:lblOffset val="100"/>
        <c:noMultiLvlLbl val="0"/>
      </c:catAx>
      <c:valAx>
        <c:axId val="2891755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solidFill>
                      <a:schemeClr val="accent1"/>
                    </a:solidFill>
                  </a:rPr>
                  <a:t>Sum</a:t>
                </a:r>
                <a:r>
                  <a:rPr lang="en-IN" b="1" baseline="0">
                    <a:solidFill>
                      <a:schemeClr val="accent1"/>
                    </a:solidFill>
                  </a:rPr>
                  <a:t> Of Values</a:t>
                </a:r>
                <a:r>
                  <a:rPr lang="en-IN" b="1">
                    <a:solidFill>
                      <a:schemeClr val="accent1"/>
                    </a:solidFill>
                  </a:rPr>
                  <a: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596292335"/>
        <c:crosses val="autoZero"/>
        <c:crossBetween val="between"/>
      </c:valAx>
      <c:spPr>
        <a:solidFill>
          <a:schemeClr val="accen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Sales</a:t>
            </a:r>
            <a:r>
              <a:rPr lang="en-US" baseline="0">
                <a:solidFill>
                  <a:schemeClr val="accent1"/>
                </a:solidFill>
              </a:rPr>
              <a:t> Distribution</a:t>
            </a:r>
            <a:endParaRPr lang="en-US">
              <a:solidFill>
                <a:schemeClr val="accent1"/>
              </a:solidFill>
            </a:endParaRPr>
          </a:p>
        </c:rich>
      </c:tx>
      <c:layout>
        <c:manualLayout>
          <c:xMode val="edge"/>
          <c:yMode val="edge"/>
          <c:x val="0.12719692751388473"/>
          <c:y val="9.3545828862693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lumMod val="20000"/>
              <a:lumOff val="80000"/>
            </a:schemeClr>
          </a:solidFill>
          <a:ln w="19050">
            <a:solidFill>
              <a:schemeClr val="lt1"/>
            </a:solidFill>
          </a:ln>
          <a:effectLst/>
        </c:spPr>
      </c:pivotFmt>
      <c:pivotFmt>
        <c:idx val="8"/>
        <c:spPr>
          <a:solidFill>
            <a:schemeClr val="accent1">
              <a:lumMod val="75000"/>
            </a:schemeClr>
          </a:solidFill>
          <a:ln w="19050">
            <a:solidFill>
              <a:schemeClr val="lt1"/>
            </a:solidFill>
          </a:ln>
          <a:effectLst/>
        </c:spPr>
      </c:pivotFmt>
    </c:pivotFmts>
    <c:plotArea>
      <c:layout>
        <c:manualLayout>
          <c:layoutTarget val="inner"/>
          <c:xMode val="edge"/>
          <c:yMode val="edge"/>
          <c:x val="0.16037003002137709"/>
          <c:y val="0.19705842153894756"/>
          <c:w val="0.51121566054243217"/>
          <c:h val="0.85202610090405362"/>
        </c:manualLayout>
      </c:layout>
      <c:doughnutChart>
        <c:varyColors val="1"/>
        <c:ser>
          <c:idx val="0"/>
          <c:order val="0"/>
          <c:tx>
            <c:strRef>
              <c:f>'pivot table'!$C$108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38-4E99-86B8-AA848AD7F577}"/>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1B38-4E99-86B8-AA848AD7F577}"/>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1B38-4E99-86B8-AA848AD7F5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table'!$B$109:$B$112</c:f>
              <c:strCache>
                <c:ptCount val="3"/>
                <c:pt idx="0">
                  <c:v>Cash</c:v>
                </c:pt>
                <c:pt idx="1">
                  <c:v>Credit card</c:v>
                </c:pt>
                <c:pt idx="2">
                  <c:v>Ewallet</c:v>
                </c:pt>
              </c:strCache>
            </c:strRef>
          </c:cat>
          <c:val>
            <c:numRef>
              <c:f>'pivot table'!$C$109:$C$112</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1B38-4E99-86B8-AA848AD7F57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N" b="1">
                <a:solidFill>
                  <a:schemeClr val="accent1"/>
                </a:solidFill>
              </a:rPr>
              <a:t>Sales</a:t>
            </a:r>
            <a:r>
              <a:rPr lang="en-IN" b="1" baseline="0">
                <a:solidFill>
                  <a:schemeClr val="accent1"/>
                </a:solidFill>
              </a:rPr>
              <a:t> Vs Gross Income</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table'!$G$43</c:f>
              <c:strCache>
                <c:ptCount val="1"/>
                <c:pt idx="0">
                  <c:v>Sum of Total</c:v>
                </c:pt>
              </c:strCache>
            </c:strRef>
          </c:tx>
          <c:spPr>
            <a:solidFill>
              <a:schemeClr val="accent1"/>
            </a:solidFill>
            <a:ln>
              <a:noFill/>
            </a:ln>
            <a:effectLst/>
          </c:spPr>
          <c:invertIfNegative val="0"/>
          <c:cat>
            <c:strRef>
              <c:f>'pivot table'!$F$44:$F$50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table'!$G$44:$G$50</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0111-4A54-ACF3-C868F8120B68}"/>
            </c:ext>
          </c:extLst>
        </c:ser>
        <c:dLbls>
          <c:showLegendKey val="0"/>
          <c:showVal val="0"/>
          <c:showCatName val="0"/>
          <c:showSerName val="0"/>
          <c:showPercent val="0"/>
          <c:showBubbleSize val="0"/>
        </c:dLbls>
        <c:gapWidth val="219"/>
        <c:overlap val="-27"/>
        <c:axId val="1596301615"/>
        <c:axId val="460159743"/>
      </c:barChart>
      <c:lineChart>
        <c:grouping val="standard"/>
        <c:varyColors val="0"/>
        <c:ser>
          <c:idx val="1"/>
          <c:order val="1"/>
          <c:tx>
            <c:strRef>
              <c:f>'pivot table'!$H$43</c:f>
              <c:strCache>
                <c:ptCount val="1"/>
                <c:pt idx="0">
                  <c:v>Sum of gross income</c:v>
                </c:pt>
              </c:strCache>
            </c:strRef>
          </c:tx>
          <c:spPr>
            <a:ln w="28575" cap="rnd">
              <a:solidFill>
                <a:schemeClr val="accent2"/>
              </a:solidFill>
              <a:round/>
            </a:ln>
            <a:effectLst/>
          </c:spPr>
          <c:marker>
            <c:symbol val="none"/>
          </c:marker>
          <c:cat>
            <c:strRef>
              <c:f>'pivot table'!$F$44:$F$50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table'!$H$44:$H$50</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0111-4A54-ACF3-C868F8120B68}"/>
            </c:ext>
          </c:extLst>
        </c:ser>
        <c:dLbls>
          <c:showLegendKey val="0"/>
          <c:showVal val="0"/>
          <c:showCatName val="0"/>
          <c:showSerName val="0"/>
          <c:showPercent val="0"/>
          <c:showBubbleSize val="0"/>
        </c:dLbls>
        <c:marker val="1"/>
        <c:smooth val="0"/>
        <c:axId val="1170632191"/>
        <c:axId val="460167423"/>
      </c:lineChart>
      <c:catAx>
        <c:axId val="159630161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N" b="1">
                    <a:solidFill>
                      <a:schemeClr val="accent1"/>
                    </a:solidFill>
                  </a:rPr>
                  <a:t>Products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60159743"/>
        <c:crosses val="autoZero"/>
        <c:auto val="1"/>
        <c:lblAlgn val="ctr"/>
        <c:lblOffset val="100"/>
        <c:noMultiLvlLbl val="0"/>
      </c:catAx>
      <c:valAx>
        <c:axId val="46015974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N" b="1">
                    <a:solidFill>
                      <a:schemeClr val="accent1"/>
                    </a:solidFill>
                  </a:rPr>
                  <a:t>Sum</a:t>
                </a:r>
                <a:r>
                  <a:rPr lang="en-IN" b="1" baseline="0">
                    <a:solidFill>
                      <a:schemeClr val="accent1"/>
                    </a:solidFill>
                  </a:rPr>
                  <a:t> Of Total</a:t>
                </a:r>
                <a:endParaRPr lang="en-IN" b="1">
                  <a:solidFill>
                    <a:schemeClr val="accent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596301615"/>
        <c:crosses val="autoZero"/>
        <c:crossBetween val="between"/>
      </c:valAx>
      <c:valAx>
        <c:axId val="460167423"/>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N" b="1">
                    <a:solidFill>
                      <a:schemeClr val="accent1"/>
                    </a:solidFill>
                  </a:rPr>
                  <a:t> Sum</a:t>
                </a:r>
                <a:r>
                  <a:rPr lang="en-IN" b="1" baseline="0">
                    <a:solidFill>
                      <a:schemeClr val="accent1"/>
                    </a:solidFill>
                  </a:rPr>
                  <a:t> Of Gross Income</a:t>
                </a:r>
                <a:endParaRPr lang="en-IN" b="1">
                  <a:solidFill>
                    <a:schemeClr val="accent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170632191"/>
        <c:crosses val="max"/>
        <c:crossBetween val="between"/>
      </c:valAx>
      <c:catAx>
        <c:axId val="1170632191"/>
        <c:scaling>
          <c:orientation val="minMax"/>
        </c:scaling>
        <c:delete val="1"/>
        <c:axPos val="b"/>
        <c:numFmt formatCode="General" sourceLinked="1"/>
        <c:majorTickMark val="out"/>
        <c:minorTickMark val="none"/>
        <c:tickLblPos val="nextTo"/>
        <c:crossAx val="4601674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microsoft.com/office/2007/relationships/hdphoto" Target="../media/hdphoto1.wdp"/><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97640</xdr:colOff>
      <xdr:row>0</xdr:row>
      <xdr:rowOff>47797</xdr:rowOff>
    </xdr:from>
    <xdr:to>
      <xdr:col>23</xdr:col>
      <xdr:colOff>72240</xdr:colOff>
      <xdr:row>42</xdr:row>
      <xdr:rowOff>72719</xdr:rowOff>
    </xdr:to>
    <xdr:sp macro="" textlink="">
      <xdr:nvSpPr>
        <xdr:cNvPr id="3" name="Rectangle 2">
          <a:extLst>
            <a:ext uri="{FF2B5EF4-FFF2-40B4-BE49-F238E27FC236}">
              <a16:creationId xmlns:a16="http://schemas.microsoft.com/office/drawing/2014/main" id="{195EF82D-1D90-DF01-652F-77ACBB870D71}"/>
            </a:ext>
          </a:extLst>
        </xdr:cNvPr>
        <xdr:cNvSpPr/>
      </xdr:nvSpPr>
      <xdr:spPr>
        <a:xfrm>
          <a:off x="97640" y="47797"/>
          <a:ext cx="13951428" cy="6620728"/>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89055</xdr:colOff>
      <xdr:row>0</xdr:row>
      <xdr:rowOff>139390</xdr:rowOff>
    </xdr:from>
    <xdr:to>
      <xdr:col>3</xdr:col>
      <xdr:colOff>59906</xdr:colOff>
      <xdr:row>7</xdr:row>
      <xdr:rowOff>50335</xdr:rowOff>
    </xdr:to>
    <xdr:sp macro="" textlink="">
      <xdr:nvSpPr>
        <xdr:cNvPr id="4" name="Rectangle 3">
          <a:extLst>
            <a:ext uri="{FF2B5EF4-FFF2-40B4-BE49-F238E27FC236}">
              <a16:creationId xmlns:a16="http://schemas.microsoft.com/office/drawing/2014/main" id="{37E8FA79-B61D-6AAE-8718-9B10E162E2B2}"/>
            </a:ext>
          </a:extLst>
        </xdr:cNvPr>
        <xdr:cNvSpPr/>
      </xdr:nvSpPr>
      <xdr:spPr>
        <a:xfrm>
          <a:off x="89055" y="139390"/>
          <a:ext cx="1803964" cy="1029184"/>
        </a:xfrm>
        <a:prstGeom prst="rect">
          <a:avLst/>
        </a:prstGeom>
        <a:solidFill>
          <a:schemeClr val="tx1"/>
        </a:solidFill>
        <a:ln>
          <a:noFill/>
        </a:ln>
        <a:effectLst>
          <a:outerShdw blurRad="50800" dist="381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58574</xdr:colOff>
      <xdr:row>0</xdr:row>
      <xdr:rowOff>138757</xdr:rowOff>
    </xdr:from>
    <xdr:to>
      <xdr:col>18</xdr:col>
      <xdr:colOff>47796</xdr:colOff>
      <xdr:row>5</xdr:row>
      <xdr:rowOff>5872</xdr:rowOff>
    </xdr:to>
    <xdr:sp macro="" textlink="">
      <xdr:nvSpPr>
        <xdr:cNvPr id="5" name="Rectangle 4">
          <a:extLst>
            <a:ext uri="{FF2B5EF4-FFF2-40B4-BE49-F238E27FC236}">
              <a16:creationId xmlns:a16="http://schemas.microsoft.com/office/drawing/2014/main" id="{EC6FBEAA-32E4-4EF5-A65C-27E878CA4097}"/>
            </a:ext>
          </a:extLst>
        </xdr:cNvPr>
        <xdr:cNvSpPr/>
      </xdr:nvSpPr>
      <xdr:spPr>
        <a:xfrm>
          <a:off x="1876983" y="138757"/>
          <a:ext cx="9081268" cy="684918"/>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t>         </a:t>
          </a:r>
          <a:r>
            <a:rPr lang="en-IN" sz="2400" b="1">
              <a:solidFill>
                <a:schemeClr val="accent1"/>
              </a:solidFill>
            </a:rPr>
            <a:t>Real</a:t>
          </a:r>
          <a:r>
            <a:rPr lang="en-IN" sz="2400" b="1" baseline="0">
              <a:solidFill>
                <a:schemeClr val="accent1"/>
              </a:solidFill>
            </a:rPr>
            <a:t> Mart Sales Analysis</a:t>
          </a:r>
          <a:endParaRPr lang="en-IN" sz="2400" b="1">
            <a:solidFill>
              <a:schemeClr val="accent1"/>
            </a:solidFill>
          </a:endParaRPr>
        </a:p>
      </xdr:txBody>
    </xdr:sp>
    <xdr:clientData/>
  </xdr:twoCellAnchor>
  <xdr:twoCellAnchor>
    <xdr:from>
      <xdr:col>0</xdr:col>
      <xdr:colOff>87341</xdr:colOff>
      <xdr:row>7</xdr:row>
      <xdr:rowOff>67349</xdr:rowOff>
    </xdr:from>
    <xdr:to>
      <xdr:col>3</xdr:col>
      <xdr:colOff>29262</xdr:colOff>
      <xdr:row>42</xdr:row>
      <xdr:rowOff>47796</xdr:rowOff>
    </xdr:to>
    <xdr:sp macro="" textlink="">
      <xdr:nvSpPr>
        <xdr:cNvPr id="6" name="Rectangle 5">
          <a:extLst>
            <a:ext uri="{FF2B5EF4-FFF2-40B4-BE49-F238E27FC236}">
              <a16:creationId xmlns:a16="http://schemas.microsoft.com/office/drawing/2014/main" id="{0F9757FC-7713-4977-A9B4-AE44364C375C}"/>
            </a:ext>
          </a:extLst>
        </xdr:cNvPr>
        <xdr:cNvSpPr/>
      </xdr:nvSpPr>
      <xdr:spPr>
        <a:xfrm>
          <a:off x="87341" y="1212273"/>
          <a:ext cx="1760330" cy="5705068"/>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61451</xdr:colOff>
      <xdr:row>4</xdr:row>
      <xdr:rowOff>147767</xdr:rowOff>
    </xdr:from>
    <xdr:to>
      <xdr:col>6</xdr:col>
      <xdr:colOff>430162</xdr:colOff>
      <xdr:row>11</xdr:row>
      <xdr:rowOff>17008</xdr:rowOff>
    </xdr:to>
    <xdr:sp macro="" textlink="">
      <xdr:nvSpPr>
        <xdr:cNvPr id="7" name="Rectangle 6">
          <a:extLst>
            <a:ext uri="{FF2B5EF4-FFF2-40B4-BE49-F238E27FC236}">
              <a16:creationId xmlns:a16="http://schemas.microsoft.com/office/drawing/2014/main" id="{A48C4A47-F8CB-4885-81A0-507BAB0E7937}"/>
            </a:ext>
          </a:extLst>
        </xdr:cNvPr>
        <xdr:cNvSpPr/>
      </xdr:nvSpPr>
      <xdr:spPr>
        <a:xfrm>
          <a:off x="1898415" y="782767"/>
          <a:ext cx="2205676" cy="980491"/>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solidFill>
            </a:rPr>
            <a:t>Total Sales</a:t>
          </a:r>
        </a:p>
      </xdr:txBody>
    </xdr:sp>
    <xdr:clientData/>
  </xdr:twoCellAnchor>
  <xdr:twoCellAnchor>
    <xdr:from>
      <xdr:col>6</xdr:col>
      <xdr:colOff>431321</xdr:colOff>
      <xdr:row>4</xdr:row>
      <xdr:rowOff>151761</xdr:rowOff>
    </xdr:from>
    <xdr:to>
      <xdr:col>10</xdr:col>
      <xdr:colOff>198011</xdr:colOff>
      <xdr:row>11</xdr:row>
      <xdr:rowOff>45356</xdr:rowOff>
    </xdr:to>
    <xdr:sp macro="" textlink="">
      <xdr:nvSpPr>
        <xdr:cNvPr id="8" name="Rectangle 7">
          <a:extLst>
            <a:ext uri="{FF2B5EF4-FFF2-40B4-BE49-F238E27FC236}">
              <a16:creationId xmlns:a16="http://schemas.microsoft.com/office/drawing/2014/main" id="{78DF7C6C-7114-4349-920B-BC90048E02EE}"/>
            </a:ext>
          </a:extLst>
        </xdr:cNvPr>
        <xdr:cNvSpPr/>
      </xdr:nvSpPr>
      <xdr:spPr>
        <a:xfrm>
          <a:off x="4105250" y="786761"/>
          <a:ext cx="2215975" cy="1004845"/>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solidFill>
            </a:rPr>
            <a:t>Total Profit</a:t>
          </a:r>
        </a:p>
      </xdr:txBody>
    </xdr:sp>
    <xdr:clientData/>
  </xdr:twoCellAnchor>
  <xdr:twoCellAnchor>
    <xdr:from>
      <xdr:col>10</xdr:col>
      <xdr:colOff>179717</xdr:colOff>
      <xdr:row>4</xdr:row>
      <xdr:rowOff>131793</xdr:rowOff>
    </xdr:from>
    <xdr:to>
      <xdr:col>14</xdr:col>
      <xdr:colOff>143387</xdr:colOff>
      <xdr:row>11</xdr:row>
      <xdr:rowOff>0</xdr:rowOff>
    </xdr:to>
    <xdr:sp macro="" textlink="">
      <xdr:nvSpPr>
        <xdr:cNvPr id="9" name="Rectangle 8">
          <a:extLst>
            <a:ext uri="{FF2B5EF4-FFF2-40B4-BE49-F238E27FC236}">
              <a16:creationId xmlns:a16="http://schemas.microsoft.com/office/drawing/2014/main" id="{4296119D-04C9-4BBE-81CE-1A4A35B66237}"/>
            </a:ext>
          </a:extLst>
        </xdr:cNvPr>
        <xdr:cNvSpPr/>
      </xdr:nvSpPr>
      <xdr:spPr>
        <a:xfrm>
          <a:off x="6290094" y="770787"/>
          <a:ext cx="2407821" cy="98644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solidFill>
            </a:rPr>
            <a:t>Total Orders</a:t>
          </a:r>
        </a:p>
      </xdr:txBody>
    </xdr:sp>
    <xdr:clientData/>
  </xdr:twoCellAnchor>
  <xdr:twoCellAnchor>
    <xdr:from>
      <xdr:col>14</xdr:col>
      <xdr:colOff>139781</xdr:colOff>
      <xdr:row>4</xdr:row>
      <xdr:rowOff>155754</xdr:rowOff>
    </xdr:from>
    <xdr:to>
      <xdr:col>18</xdr:col>
      <xdr:colOff>56810</xdr:colOff>
      <xdr:row>11</xdr:row>
      <xdr:rowOff>11980</xdr:rowOff>
    </xdr:to>
    <xdr:sp macro="" textlink="">
      <xdr:nvSpPr>
        <xdr:cNvPr id="10" name="Rectangle 9">
          <a:extLst>
            <a:ext uri="{FF2B5EF4-FFF2-40B4-BE49-F238E27FC236}">
              <a16:creationId xmlns:a16="http://schemas.microsoft.com/office/drawing/2014/main" id="{C9F72635-D62D-4518-BC07-92A5BB7300D5}"/>
            </a:ext>
          </a:extLst>
        </xdr:cNvPr>
        <xdr:cNvSpPr/>
      </xdr:nvSpPr>
      <xdr:spPr>
        <a:xfrm>
          <a:off x="8694309" y="794748"/>
          <a:ext cx="2361180" cy="974465"/>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solidFill>
            </a:rPr>
            <a:t>Avg.Rating</a:t>
          </a:r>
        </a:p>
      </xdr:txBody>
    </xdr:sp>
    <xdr:clientData/>
  </xdr:twoCellAnchor>
  <xdr:twoCellAnchor>
    <xdr:from>
      <xdr:col>3</xdr:col>
      <xdr:colOff>63927</xdr:colOff>
      <xdr:row>10</xdr:row>
      <xdr:rowOff>148401</xdr:rowOff>
    </xdr:from>
    <xdr:to>
      <xdr:col>12</xdr:col>
      <xdr:colOff>600859</xdr:colOff>
      <xdr:row>26</xdr:row>
      <xdr:rowOff>88762</xdr:rowOff>
    </xdr:to>
    <xdr:sp macro="" textlink="">
      <xdr:nvSpPr>
        <xdr:cNvPr id="11" name="Rectangle 10">
          <a:extLst>
            <a:ext uri="{FF2B5EF4-FFF2-40B4-BE49-F238E27FC236}">
              <a16:creationId xmlns:a16="http://schemas.microsoft.com/office/drawing/2014/main" id="{1621A966-D219-48ED-92F0-2E203FBBD5B5}"/>
            </a:ext>
          </a:extLst>
        </xdr:cNvPr>
        <xdr:cNvSpPr/>
      </xdr:nvSpPr>
      <xdr:spPr>
        <a:xfrm>
          <a:off x="1886992" y="1718831"/>
          <a:ext cx="6006125" cy="2453049"/>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11489</xdr:colOff>
      <xdr:row>10</xdr:row>
      <xdr:rowOff>150586</xdr:rowOff>
    </xdr:from>
    <xdr:to>
      <xdr:col>23</xdr:col>
      <xdr:colOff>40968</xdr:colOff>
      <xdr:row>26</xdr:row>
      <xdr:rowOff>90947</xdr:rowOff>
    </xdr:to>
    <xdr:sp macro="" textlink="">
      <xdr:nvSpPr>
        <xdr:cNvPr id="12" name="Rectangle 11">
          <a:extLst>
            <a:ext uri="{FF2B5EF4-FFF2-40B4-BE49-F238E27FC236}">
              <a16:creationId xmlns:a16="http://schemas.microsoft.com/office/drawing/2014/main" id="{6FECB131-67E7-4E27-BA3E-472BD5235D2B}"/>
            </a:ext>
          </a:extLst>
        </xdr:cNvPr>
        <xdr:cNvSpPr/>
      </xdr:nvSpPr>
      <xdr:spPr>
        <a:xfrm>
          <a:off x="7907576" y="1738086"/>
          <a:ext cx="6103392" cy="2480361"/>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59285</xdr:colOff>
      <xdr:row>26</xdr:row>
      <xdr:rowOff>116446</xdr:rowOff>
    </xdr:from>
    <xdr:to>
      <xdr:col>10</xdr:col>
      <xdr:colOff>375538</xdr:colOff>
      <xdr:row>42</xdr:row>
      <xdr:rowOff>56807</xdr:rowOff>
    </xdr:to>
    <xdr:sp macro="" textlink="">
      <xdr:nvSpPr>
        <xdr:cNvPr id="13" name="Rectangle 12">
          <a:extLst>
            <a:ext uri="{FF2B5EF4-FFF2-40B4-BE49-F238E27FC236}">
              <a16:creationId xmlns:a16="http://schemas.microsoft.com/office/drawing/2014/main" id="{E7FBFA8C-8607-4A03-9F01-B3F98020D63D}"/>
            </a:ext>
          </a:extLst>
        </xdr:cNvPr>
        <xdr:cNvSpPr/>
      </xdr:nvSpPr>
      <xdr:spPr>
        <a:xfrm>
          <a:off x="1882350" y="4199564"/>
          <a:ext cx="4570070" cy="2453049"/>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396021</xdr:colOff>
      <xdr:row>26</xdr:row>
      <xdr:rowOff>118631</xdr:rowOff>
    </xdr:from>
    <xdr:to>
      <xdr:col>15</xdr:col>
      <xdr:colOff>443818</xdr:colOff>
      <xdr:row>42</xdr:row>
      <xdr:rowOff>58992</xdr:rowOff>
    </xdr:to>
    <xdr:sp macro="" textlink="">
      <xdr:nvSpPr>
        <xdr:cNvPr id="14" name="Rectangle 13">
          <a:extLst>
            <a:ext uri="{FF2B5EF4-FFF2-40B4-BE49-F238E27FC236}">
              <a16:creationId xmlns:a16="http://schemas.microsoft.com/office/drawing/2014/main" id="{8E7C9733-949C-4048-84A7-8C52E82927D0}"/>
            </a:ext>
          </a:extLst>
        </xdr:cNvPr>
        <xdr:cNvSpPr/>
      </xdr:nvSpPr>
      <xdr:spPr>
        <a:xfrm>
          <a:off x="6472903" y="4201749"/>
          <a:ext cx="3086238" cy="2453049"/>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477975</xdr:colOff>
      <xdr:row>26</xdr:row>
      <xdr:rowOff>111803</xdr:rowOff>
    </xdr:from>
    <xdr:to>
      <xdr:col>23</xdr:col>
      <xdr:colOff>34140</xdr:colOff>
      <xdr:row>42</xdr:row>
      <xdr:rowOff>52164</xdr:rowOff>
    </xdr:to>
    <xdr:sp macro="" textlink="">
      <xdr:nvSpPr>
        <xdr:cNvPr id="15" name="Rectangle 14">
          <a:extLst>
            <a:ext uri="{FF2B5EF4-FFF2-40B4-BE49-F238E27FC236}">
              <a16:creationId xmlns:a16="http://schemas.microsoft.com/office/drawing/2014/main" id="{10678BDE-BCDE-4BC3-87CF-05AC35CF7267}"/>
            </a:ext>
          </a:extLst>
        </xdr:cNvPr>
        <xdr:cNvSpPr/>
      </xdr:nvSpPr>
      <xdr:spPr>
        <a:xfrm>
          <a:off x="9593298" y="4194921"/>
          <a:ext cx="4417670" cy="2453049"/>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77893</xdr:colOff>
      <xdr:row>0</xdr:row>
      <xdr:rowOff>137850</xdr:rowOff>
    </xdr:from>
    <xdr:to>
      <xdr:col>23</xdr:col>
      <xdr:colOff>48105</xdr:colOff>
      <xdr:row>10</xdr:row>
      <xdr:rowOff>125076</xdr:rowOff>
    </xdr:to>
    <xdr:sp macro="" textlink="">
      <xdr:nvSpPr>
        <xdr:cNvPr id="16" name="Rectangle 15">
          <a:extLst>
            <a:ext uri="{FF2B5EF4-FFF2-40B4-BE49-F238E27FC236}">
              <a16:creationId xmlns:a16="http://schemas.microsoft.com/office/drawing/2014/main" id="{E62F624F-3FF9-40C8-82F8-9B071A0B4D5E}"/>
            </a:ext>
          </a:extLst>
        </xdr:cNvPr>
        <xdr:cNvSpPr/>
      </xdr:nvSpPr>
      <xdr:spPr>
        <a:xfrm>
          <a:off x="10988348" y="137850"/>
          <a:ext cx="3000893" cy="1622832"/>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57727</xdr:colOff>
      <xdr:row>0</xdr:row>
      <xdr:rowOff>115455</xdr:rowOff>
    </xdr:from>
    <xdr:to>
      <xdr:col>4</xdr:col>
      <xdr:colOff>125460</xdr:colOff>
      <xdr:row>4</xdr:row>
      <xdr:rowOff>135082</xdr:rowOff>
    </xdr:to>
    <xdr:pic>
      <xdr:nvPicPr>
        <xdr:cNvPr id="18" name="Graphic 17" descr="Bar graph with upward trend with solid fill">
          <a:extLst>
            <a:ext uri="{FF2B5EF4-FFF2-40B4-BE49-F238E27FC236}">
              <a16:creationId xmlns:a16="http://schemas.microsoft.com/office/drawing/2014/main" id="{C58DDCFD-48F3-2B0E-EB84-AA87C09C30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6136" y="115455"/>
          <a:ext cx="673869" cy="673869"/>
        </a:xfrm>
        <a:prstGeom prst="rect">
          <a:avLst/>
        </a:prstGeom>
        <a:effectLst>
          <a:outerShdw blurRad="50800" dist="38100" dir="2700000" algn="tl" rotWithShape="0">
            <a:prstClr val="black">
              <a:alpha val="40000"/>
            </a:prstClr>
          </a:outerShdw>
        </a:effectLst>
      </xdr:spPr>
    </xdr:pic>
    <xdr:clientData/>
  </xdr:twoCellAnchor>
  <xdr:twoCellAnchor editAs="oneCell">
    <xdr:from>
      <xdr:col>25</xdr:col>
      <xdr:colOff>524565</xdr:colOff>
      <xdr:row>2</xdr:row>
      <xdr:rowOff>20706</xdr:rowOff>
    </xdr:from>
    <xdr:to>
      <xdr:col>28</xdr:col>
      <xdr:colOff>362227</xdr:colOff>
      <xdr:row>16</xdr:row>
      <xdr:rowOff>117826</xdr:rowOff>
    </xdr:to>
    <xdr:pic>
      <xdr:nvPicPr>
        <xdr:cNvPr id="20" name="Graphic 19" descr="Money with solid fill" hidden="1">
          <a:extLst>
            <a:ext uri="{FF2B5EF4-FFF2-40B4-BE49-F238E27FC236}">
              <a16:creationId xmlns:a16="http://schemas.microsoft.com/office/drawing/2014/main" id="{2D6DCC6A-10E7-D7CD-9CB4-9A4F42321E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709348" y="338206"/>
          <a:ext cx="1659836" cy="2319620"/>
        </a:xfrm>
        <a:prstGeom prst="rect">
          <a:avLst/>
        </a:prstGeom>
      </xdr:spPr>
    </xdr:pic>
    <xdr:clientData/>
  </xdr:twoCellAnchor>
  <xdr:twoCellAnchor editAs="oneCell">
    <xdr:from>
      <xdr:col>6</xdr:col>
      <xdr:colOff>465965</xdr:colOff>
      <xdr:row>5</xdr:row>
      <xdr:rowOff>52917</xdr:rowOff>
    </xdr:from>
    <xdr:to>
      <xdr:col>7</xdr:col>
      <xdr:colOff>345917</xdr:colOff>
      <xdr:row>8</xdr:row>
      <xdr:rowOff>56159</xdr:rowOff>
    </xdr:to>
    <xdr:pic>
      <xdr:nvPicPr>
        <xdr:cNvPr id="22" name="Graphic 21" descr="Coins with solid fill">
          <a:extLst>
            <a:ext uri="{FF2B5EF4-FFF2-40B4-BE49-F238E27FC236}">
              <a16:creationId xmlns:a16="http://schemas.microsoft.com/office/drawing/2014/main" id="{63B29E61-7815-DA45-15BD-CD4505D58B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39894" y="846667"/>
          <a:ext cx="492273" cy="479492"/>
        </a:xfrm>
        <a:prstGeom prst="rect">
          <a:avLst/>
        </a:prstGeom>
      </xdr:spPr>
    </xdr:pic>
    <xdr:clientData/>
  </xdr:twoCellAnchor>
  <xdr:twoCellAnchor editAs="oneCell">
    <xdr:from>
      <xdr:col>3</xdr:col>
      <xdr:colOff>69021</xdr:colOff>
      <xdr:row>5</xdr:row>
      <xdr:rowOff>13804</xdr:rowOff>
    </xdr:from>
    <xdr:to>
      <xdr:col>4</xdr:col>
      <xdr:colOff>54836</xdr:colOff>
      <xdr:row>8</xdr:row>
      <xdr:rowOff>79619</xdr:rowOff>
    </xdr:to>
    <xdr:pic>
      <xdr:nvPicPr>
        <xdr:cNvPr id="24" name="Graphic 23" descr="Bar chart with solid fill">
          <a:extLst>
            <a:ext uri="{FF2B5EF4-FFF2-40B4-BE49-F238E27FC236}">
              <a16:creationId xmlns:a16="http://schemas.microsoft.com/office/drawing/2014/main" id="{FEA8470C-5E49-4264-946C-FBE7B785A37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91195" y="807554"/>
          <a:ext cx="593206" cy="542065"/>
        </a:xfrm>
        <a:prstGeom prst="rect">
          <a:avLst/>
        </a:prstGeom>
      </xdr:spPr>
    </xdr:pic>
    <xdr:clientData/>
  </xdr:twoCellAnchor>
  <xdr:twoCellAnchor editAs="oneCell">
    <xdr:from>
      <xdr:col>10</xdr:col>
      <xdr:colOff>249465</xdr:colOff>
      <xdr:row>5</xdr:row>
      <xdr:rowOff>60477</xdr:rowOff>
    </xdr:from>
    <xdr:to>
      <xdr:col>11</xdr:col>
      <xdr:colOff>158751</xdr:colOff>
      <xdr:row>8</xdr:row>
      <xdr:rowOff>87554</xdr:rowOff>
    </xdr:to>
    <xdr:pic>
      <xdr:nvPicPr>
        <xdr:cNvPr id="26" name="Graphic 25" descr="Shopping cart with solid fill">
          <a:extLst>
            <a:ext uri="{FF2B5EF4-FFF2-40B4-BE49-F238E27FC236}">
              <a16:creationId xmlns:a16="http://schemas.microsoft.com/office/drawing/2014/main" id="{CB25ADBC-0046-491C-FDB7-A5511B5D311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72679" y="854227"/>
          <a:ext cx="521608" cy="503327"/>
        </a:xfrm>
        <a:prstGeom prst="rect">
          <a:avLst/>
        </a:prstGeom>
      </xdr:spPr>
    </xdr:pic>
    <xdr:clientData/>
  </xdr:twoCellAnchor>
  <xdr:twoCellAnchor editAs="oneCell">
    <xdr:from>
      <xdr:col>14</xdr:col>
      <xdr:colOff>257023</xdr:colOff>
      <xdr:row>5</xdr:row>
      <xdr:rowOff>60477</xdr:rowOff>
    </xdr:from>
    <xdr:to>
      <xdr:col>15</xdr:col>
      <xdr:colOff>82202</xdr:colOff>
      <xdr:row>8</xdr:row>
      <xdr:rowOff>60477</xdr:rowOff>
    </xdr:to>
    <xdr:pic>
      <xdr:nvPicPr>
        <xdr:cNvPr id="28" name="Graphic 27" descr="Star with solid fill">
          <a:extLst>
            <a:ext uri="{FF2B5EF4-FFF2-40B4-BE49-F238E27FC236}">
              <a16:creationId xmlns:a16="http://schemas.microsoft.com/office/drawing/2014/main" id="{03E9D5F3-E7B5-4EFC-CD58-44CAC20797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829523" y="854227"/>
          <a:ext cx="437500" cy="476250"/>
        </a:xfrm>
        <a:prstGeom prst="rect">
          <a:avLst/>
        </a:prstGeom>
      </xdr:spPr>
    </xdr:pic>
    <xdr:clientData/>
  </xdr:twoCellAnchor>
  <xdr:oneCellAnchor>
    <xdr:from>
      <xdr:col>3</xdr:col>
      <xdr:colOff>536727</xdr:colOff>
      <xdr:row>7</xdr:row>
      <xdr:rowOff>7560</xdr:rowOff>
    </xdr:from>
    <xdr:ext cx="1126369" cy="254557"/>
    <xdr:sp macro="" textlink="'pivot table'!K23">
      <xdr:nvSpPr>
        <xdr:cNvPr id="29" name="TextBox 28">
          <a:extLst>
            <a:ext uri="{FF2B5EF4-FFF2-40B4-BE49-F238E27FC236}">
              <a16:creationId xmlns:a16="http://schemas.microsoft.com/office/drawing/2014/main" id="{7F073AA6-8320-26A1-E6BF-3BDB68E3CC35}"/>
            </a:ext>
          </a:extLst>
        </xdr:cNvPr>
        <xdr:cNvSpPr txBox="1"/>
      </xdr:nvSpPr>
      <xdr:spPr>
        <a:xfrm>
          <a:off x="2373691" y="1118810"/>
          <a:ext cx="112636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778D178-45E1-4362-9748-24CEBD9D188A}" type="TxLink">
            <a:rPr lang="en-US" sz="1100" b="1" i="0" u="none" strike="noStrike">
              <a:solidFill>
                <a:schemeClr val="accent1"/>
              </a:solidFill>
              <a:latin typeface="Arial"/>
              <a:cs typeface="Arial"/>
            </a:rPr>
            <a:pPr/>
            <a:t> ₹ 659,272.48 </a:t>
          </a:fld>
          <a:endParaRPr lang="en-IN" sz="1100" b="1">
            <a:solidFill>
              <a:schemeClr val="accent1"/>
            </a:solidFill>
          </a:endParaRPr>
        </a:p>
      </xdr:txBody>
    </xdr:sp>
    <xdr:clientData/>
  </xdr:oneCellAnchor>
  <xdr:oneCellAnchor>
    <xdr:from>
      <xdr:col>7</xdr:col>
      <xdr:colOff>325060</xdr:colOff>
      <xdr:row>6</xdr:row>
      <xdr:rowOff>113393</xdr:rowOff>
    </xdr:from>
    <xdr:ext cx="1008418" cy="254557"/>
    <xdr:sp macro="" textlink="">
      <xdr:nvSpPr>
        <xdr:cNvPr id="33" name="TextBox 32">
          <a:extLst>
            <a:ext uri="{FF2B5EF4-FFF2-40B4-BE49-F238E27FC236}">
              <a16:creationId xmlns:a16="http://schemas.microsoft.com/office/drawing/2014/main" id="{CE346064-914C-0A59-818E-573A3B71B520}"/>
            </a:ext>
          </a:extLst>
        </xdr:cNvPr>
        <xdr:cNvSpPr txBox="1"/>
      </xdr:nvSpPr>
      <xdr:spPr>
        <a:xfrm>
          <a:off x="4611310" y="1065893"/>
          <a:ext cx="1008418"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0" u="none" strike="noStrike">
              <a:solidFill>
                <a:schemeClr val="accent1"/>
              </a:solidFill>
              <a:effectLst/>
              <a:latin typeface="+mn-lt"/>
              <a:ea typeface="+mn-ea"/>
              <a:cs typeface="+mn-cs"/>
            </a:rPr>
            <a:t> ₹ 31,393.93 </a:t>
          </a:r>
          <a:endParaRPr lang="en-IN" sz="1100" b="1">
            <a:solidFill>
              <a:schemeClr val="accent1"/>
            </a:solidFill>
          </a:endParaRPr>
        </a:p>
      </xdr:txBody>
    </xdr:sp>
    <xdr:clientData/>
  </xdr:oneCellAnchor>
  <xdr:oneCellAnchor>
    <xdr:from>
      <xdr:col>11</xdr:col>
      <xdr:colOff>491369</xdr:colOff>
      <xdr:row>6</xdr:row>
      <xdr:rowOff>151191</xdr:rowOff>
    </xdr:from>
    <xdr:ext cx="537776" cy="254557"/>
    <xdr:sp macro="" textlink="">
      <xdr:nvSpPr>
        <xdr:cNvPr id="34" name="TextBox 33">
          <a:extLst>
            <a:ext uri="{FF2B5EF4-FFF2-40B4-BE49-F238E27FC236}">
              <a16:creationId xmlns:a16="http://schemas.microsoft.com/office/drawing/2014/main" id="{778FE475-13D1-FD7E-FC39-A5AEE2F60D31}"/>
            </a:ext>
          </a:extLst>
        </xdr:cNvPr>
        <xdr:cNvSpPr txBox="1"/>
      </xdr:nvSpPr>
      <xdr:spPr>
        <a:xfrm>
          <a:off x="7226905" y="1103691"/>
          <a:ext cx="537776"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0" u="none" strike="noStrike">
              <a:solidFill>
                <a:schemeClr val="accent1"/>
              </a:solidFill>
              <a:effectLst/>
              <a:latin typeface="+mn-lt"/>
              <a:ea typeface="+mn-ea"/>
              <a:cs typeface="+mn-cs"/>
            </a:rPr>
            <a:t>2064</a:t>
          </a:r>
          <a:r>
            <a:rPr lang="en-IN" b="1">
              <a:solidFill>
                <a:schemeClr val="accent1"/>
              </a:solidFill>
              <a:effectLst/>
            </a:rPr>
            <a:t> </a:t>
          </a:r>
          <a:endParaRPr lang="en-IN" sz="1100" b="1">
            <a:solidFill>
              <a:schemeClr val="accent1"/>
            </a:solidFill>
          </a:endParaRPr>
        </a:p>
      </xdr:txBody>
    </xdr:sp>
    <xdr:clientData/>
  </xdr:oneCellAnchor>
  <xdr:oneCellAnchor>
    <xdr:from>
      <xdr:col>15</xdr:col>
      <xdr:colOff>491369</xdr:colOff>
      <xdr:row>8</xdr:row>
      <xdr:rowOff>22679</xdr:rowOff>
    </xdr:from>
    <xdr:ext cx="184731" cy="254557"/>
    <xdr:sp macro="" textlink="">
      <xdr:nvSpPr>
        <xdr:cNvPr id="35" name="TextBox 34">
          <a:extLst>
            <a:ext uri="{FF2B5EF4-FFF2-40B4-BE49-F238E27FC236}">
              <a16:creationId xmlns:a16="http://schemas.microsoft.com/office/drawing/2014/main" id="{6DE69CCF-7614-8674-5AC6-657DCDBC9D4F}"/>
            </a:ext>
          </a:extLst>
        </xdr:cNvPr>
        <xdr:cNvSpPr txBox="1"/>
      </xdr:nvSpPr>
      <xdr:spPr>
        <a:xfrm>
          <a:off x="9676190" y="1292679"/>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15</xdr:col>
      <xdr:colOff>498930</xdr:colOff>
      <xdr:row>6</xdr:row>
      <xdr:rowOff>113392</xdr:rowOff>
    </xdr:from>
    <xdr:ext cx="419987" cy="254557"/>
    <xdr:sp macro="" textlink="">
      <xdr:nvSpPr>
        <xdr:cNvPr id="37" name="TextBox 36">
          <a:extLst>
            <a:ext uri="{FF2B5EF4-FFF2-40B4-BE49-F238E27FC236}">
              <a16:creationId xmlns:a16="http://schemas.microsoft.com/office/drawing/2014/main" id="{308108F4-840D-D856-F055-2BAC0A050467}"/>
            </a:ext>
          </a:extLst>
        </xdr:cNvPr>
        <xdr:cNvSpPr txBox="1"/>
      </xdr:nvSpPr>
      <xdr:spPr>
        <a:xfrm>
          <a:off x="9683751" y="1065892"/>
          <a:ext cx="41998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0" u="none" strike="noStrike">
              <a:solidFill>
                <a:schemeClr val="accent1"/>
              </a:solidFill>
              <a:effectLst/>
              <a:latin typeface="+mn-lt"/>
              <a:ea typeface="+mn-ea"/>
              <a:cs typeface="+mn-cs"/>
            </a:rPr>
            <a:t>7.2</a:t>
          </a:r>
          <a:r>
            <a:rPr lang="en-IN" b="1">
              <a:solidFill>
                <a:schemeClr val="accent1"/>
              </a:solidFill>
              <a:effectLst/>
            </a:rPr>
            <a:t> </a:t>
          </a:r>
          <a:endParaRPr lang="en-IN" sz="1100" b="1">
            <a:solidFill>
              <a:schemeClr val="accent1"/>
            </a:solidFill>
          </a:endParaRPr>
        </a:p>
      </xdr:txBody>
    </xdr:sp>
    <xdr:clientData/>
  </xdr:oneCellAnchor>
  <xdr:twoCellAnchor>
    <xdr:from>
      <xdr:col>12</xdr:col>
      <xdr:colOff>602848</xdr:colOff>
      <xdr:row>10</xdr:row>
      <xdr:rowOff>119812</xdr:rowOff>
    </xdr:from>
    <xdr:to>
      <xdr:col>23</xdr:col>
      <xdr:colOff>22677</xdr:colOff>
      <xdr:row>26</xdr:row>
      <xdr:rowOff>75338</xdr:rowOff>
    </xdr:to>
    <xdr:graphicFrame macro="">
      <xdr:nvGraphicFramePr>
        <xdr:cNvPr id="38" name="Chart 37">
          <a:extLst>
            <a:ext uri="{FF2B5EF4-FFF2-40B4-BE49-F238E27FC236}">
              <a16:creationId xmlns:a16="http://schemas.microsoft.com/office/drawing/2014/main" id="{AB7FBB30-25F0-4C13-AC50-B38559377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482279</xdr:colOff>
      <xdr:row>26</xdr:row>
      <xdr:rowOff>79375</xdr:rowOff>
    </xdr:from>
    <xdr:to>
      <xdr:col>23</xdr:col>
      <xdr:colOff>37799</xdr:colOff>
      <xdr:row>42</xdr:row>
      <xdr:rowOff>45358</xdr:rowOff>
    </xdr:to>
    <xdr:graphicFrame macro="">
      <xdr:nvGraphicFramePr>
        <xdr:cNvPr id="39" name="Chart 38">
          <a:extLst>
            <a:ext uri="{FF2B5EF4-FFF2-40B4-BE49-F238E27FC236}">
              <a16:creationId xmlns:a16="http://schemas.microsoft.com/office/drawing/2014/main" id="{2C3FA3F0-EEDB-4675-B1B7-D6502976F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5670</xdr:colOff>
      <xdr:row>10</xdr:row>
      <xdr:rowOff>103838</xdr:rowOff>
    </xdr:from>
    <xdr:to>
      <xdr:col>12</xdr:col>
      <xdr:colOff>590791</xdr:colOff>
      <xdr:row>26</xdr:row>
      <xdr:rowOff>46693</xdr:rowOff>
    </xdr:to>
    <xdr:graphicFrame macro="">
      <xdr:nvGraphicFramePr>
        <xdr:cNvPr id="40" name="Chart 39">
          <a:extLst>
            <a:ext uri="{FF2B5EF4-FFF2-40B4-BE49-F238E27FC236}">
              <a16:creationId xmlns:a16="http://schemas.microsoft.com/office/drawing/2014/main" id="{9766D246-0EE1-491E-BF87-88C04DB71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410246</xdr:colOff>
      <xdr:row>26</xdr:row>
      <xdr:rowOff>72342</xdr:rowOff>
    </xdr:from>
    <xdr:to>
      <xdr:col>15</xdr:col>
      <xdr:colOff>446108</xdr:colOff>
      <xdr:row>42</xdr:row>
      <xdr:rowOff>76815</xdr:rowOff>
    </xdr:to>
    <xdr:graphicFrame macro="">
      <xdr:nvGraphicFramePr>
        <xdr:cNvPr id="41" name="Chart 40">
          <a:extLst>
            <a:ext uri="{FF2B5EF4-FFF2-40B4-BE49-F238E27FC236}">
              <a16:creationId xmlns:a16="http://schemas.microsoft.com/office/drawing/2014/main" id="{ED89310F-0AC9-4DB4-9616-FDA9CC745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55105</xdr:colOff>
      <xdr:row>26</xdr:row>
      <xdr:rowOff>138043</xdr:rowOff>
    </xdr:from>
    <xdr:to>
      <xdr:col>10</xdr:col>
      <xdr:colOff>363534</xdr:colOff>
      <xdr:row>42</xdr:row>
      <xdr:rowOff>87820</xdr:rowOff>
    </xdr:to>
    <xdr:graphicFrame macro="">
      <xdr:nvGraphicFramePr>
        <xdr:cNvPr id="42" name="Chart 41">
          <a:extLst>
            <a:ext uri="{FF2B5EF4-FFF2-40B4-BE49-F238E27FC236}">
              <a16:creationId xmlns:a16="http://schemas.microsoft.com/office/drawing/2014/main" id="{1F31AFFB-BD53-4E00-9375-417CA87BD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105834</xdr:colOff>
      <xdr:row>36</xdr:row>
      <xdr:rowOff>34875</xdr:rowOff>
    </xdr:from>
    <xdr:to>
      <xdr:col>2</xdr:col>
      <xdr:colOff>603250</xdr:colOff>
      <xdr:row>42</xdr:row>
      <xdr:rowOff>33072</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C20AC4F5-D724-430D-B8EE-A4A0BD175EA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5834" y="5871471"/>
              <a:ext cx="1713373" cy="970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99248</xdr:colOff>
      <xdr:row>28</xdr:row>
      <xdr:rowOff>143356</xdr:rowOff>
    </xdr:from>
    <xdr:to>
      <xdr:col>3</xdr:col>
      <xdr:colOff>1324</xdr:colOff>
      <xdr:row>36</xdr:row>
      <xdr:rowOff>13229</xdr:rowOff>
    </xdr:to>
    <mc:AlternateContent xmlns:mc="http://schemas.openxmlformats.org/markup-compatibility/2006" xmlns:a14="http://schemas.microsoft.com/office/drawing/2010/main">
      <mc:Choice Requires="a14">
        <xdr:graphicFrame macro="">
          <xdr:nvGraphicFramePr>
            <xdr:cNvPr id="45" name="City 1">
              <a:extLst>
                <a:ext uri="{FF2B5EF4-FFF2-40B4-BE49-F238E27FC236}">
                  <a16:creationId xmlns:a16="http://schemas.microsoft.com/office/drawing/2014/main" id="{02B57A99-D83C-44FB-82BF-354BCD26CAF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9248" y="4682930"/>
              <a:ext cx="1726012" cy="1166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113800</xdr:colOff>
      <xdr:row>20</xdr:row>
      <xdr:rowOff>52075</xdr:rowOff>
    </xdr:from>
    <xdr:to>
      <xdr:col>3</xdr:col>
      <xdr:colOff>19844</xdr:colOff>
      <xdr:row>28</xdr:row>
      <xdr:rowOff>112447</xdr:rowOff>
    </xdr:to>
    <mc:AlternateContent xmlns:mc="http://schemas.openxmlformats.org/markup-compatibility/2006" xmlns:a14="http://schemas.microsoft.com/office/drawing/2010/main">
      <mc:Choice Requires="a14">
        <xdr:graphicFrame macro="">
          <xdr:nvGraphicFramePr>
            <xdr:cNvPr id="46" name="Branch 1">
              <a:extLst>
                <a:ext uri="{FF2B5EF4-FFF2-40B4-BE49-F238E27FC236}">
                  <a16:creationId xmlns:a16="http://schemas.microsoft.com/office/drawing/2014/main" id="{7BB7AB3A-0B8C-4CD7-BDE8-2EC9FF4DE2BD}"/>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13800" y="3294628"/>
              <a:ext cx="1729980" cy="135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87341</xdr:colOff>
      <xdr:row>7</xdr:row>
      <xdr:rowOff>72760</xdr:rowOff>
    </xdr:from>
    <xdr:to>
      <xdr:col>3</xdr:col>
      <xdr:colOff>79375</xdr:colOff>
      <xdr:row>20</xdr:row>
      <xdr:rowOff>13229</xdr:rowOff>
    </xdr:to>
    <mc:AlternateContent xmlns:mc="http://schemas.openxmlformats.org/markup-compatibility/2006" xmlns:a14="http://schemas.microsoft.com/office/drawing/2010/main">
      <mc:Choice Requires="a14">
        <xdr:graphicFrame macro="">
          <xdr:nvGraphicFramePr>
            <xdr:cNvPr id="47" name="Product line 1">
              <a:extLst>
                <a:ext uri="{FF2B5EF4-FFF2-40B4-BE49-F238E27FC236}">
                  <a16:creationId xmlns:a16="http://schemas.microsoft.com/office/drawing/2014/main" id="{06BC9386-8907-46DB-A2EF-A765ECB41A84}"/>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87341" y="1207654"/>
              <a:ext cx="1815970" cy="204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47926</xdr:colOff>
      <xdr:row>0</xdr:row>
      <xdr:rowOff>137850</xdr:rowOff>
    </xdr:from>
    <xdr:to>
      <xdr:col>23</xdr:col>
      <xdr:colOff>27957</xdr:colOff>
      <xdr:row>10</xdr:row>
      <xdr:rowOff>147768</xdr:rowOff>
    </xdr:to>
    <mc:AlternateContent xmlns:mc="http://schemas.openxmlformats.org/markup-compatibility/2006" xmlns:tsle="http://schemas.microsoft.com/office/drawing/2012/timeslicer">
      <mc:Choice Requires="tsle">
        <xdr:graphicFrame macro="">
          <xdr:nvGraphicFramePr>
            <xdr:cNvPr id="49" name="Time 1">
              <a:extLst>
                <a:ext uri="{FF2B5EF4-FFF2-40B4-BE49-F238E27FC236}">
                  <a16:creationId xmlns:a16="http://schemas.microsoft.com/office/drawing/2014/main" id="{1CD2D0CC-7B20-4117-AC96-84F72AD5DE5B}"/>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0991543" y="137850"/>
              <a:ext cx="3019925" cy="16311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383563</xdr:colOff>
      <xdr:row>1</xdr:row>
      <xdr:rowOff>24901</xdr:rowOff>
    </xdr:from>
    <xdr:to>
      <xdr:col>2</xdr:col>
      <xdr:colOff>211667</xdr:colOff>
      <xdr:row>6</xdr:row>
      <xdr:rowOff>143463</xdr:rowOff>
    </xdr:to>
    <xdr:pic>
      <xdr:nvPicPr>
        <xdr:cNvPr id="50" name="Picture 49">
          <a:extLst>
            <a:ext uri="{FF2B5EF4-FFF2-40B4-BE49-F238E27FC236}">
              <a16:creationId xmlns:a16="http://schemas.microsoft.com/office/drawing/2014/main" id="{59E621DD-0ED9-B20E-7953-B12AC209A5E2}"/>
            </a:ext>
          </a:extLst>
        </xdr:cNvPr>
        <xdr:cNvPicPr>
          <a:picLocks noChangeAspect="1" noChangeArrowheads="1"/>
        </xdr:cNvPicPr>
      </xdr:nvPicPr>
      <xdr:blipFill rotWithShape="1">
        <a:blip xmlns:r="http://schemas.openxmlformats.org/officeDocument/2006/relationships" r:embed="rId18" cstate="print">
          <a:alphaModFix/>
          <a:duotone>
            <a:schemeClr val="accent1">
              <a:shade val="45000"/>
              <a:satMod val="135000"/>
            </a:schemeClr>
            <a:prstClr val="white"/>
          </a:duotone>
          <a:extLst>
            <a:ext uri="{BEBA8EAE-BF5A-486C-A8C5-ECC9F3942E4B}">
              <a14:imgProps xmlns:a14="http://schemas.microsoft.com/office/drawing/2010/main">
                <a14:imgLayer r:embed="rId19">
                  <a14:imgEffect>
                    <a14:backgroundRemoval t="8000" b="89778" l="9333" r="89778">
                      <a14:foregroundMark x1="38667" y1="8444" x2="63556" y2="11111"/>
                      <a14:foregroundMark x1="9333" y1="41333" x2="9333" y2="63556"/>
                    </a14:backgroundRemoval>
                  </a14:imgEffect>
                  <a14:imgEffect>
                    <a14:artisticPaintStrokes/>
                  </a14:imgEffect>
                  <a14:imgEffect>
                    <a14:saturation sat="200000"/>
                  </a14:imgEffect>
                </a14:imgLayer>
              </a14:imgProps>
            </a:ext>
            <a:ext uri="{28A0092B-C50C-407E-A947-70E740481C1C}">
              <a14:useLocalDpi xmlns:a14="http://schemas.microsoft.com/office/drawing/2010/main" val="0"/>
            </a:ext>
          </a:extLst>
        </a:blip>
        <a:srcRect l="1" r="-15029"/>
        <a:stretch>
          <a:fillRect/>
        </a:stretch>
      </xdr:blipFill>
      <xdr:spPr bwMode="auto">
        <a:xfrm>
          <a:off x="383563" y="186764"/>
          <a:ext cx="1048300" cy="92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LATHA" refreshedDate="46263.417129398149" createdVersion="8" refreshedVersion="8" minRefreshableVersion="3" recordCount="2064" xr:uid="{C775BD1F-6538-43C5-A08A-CB74EA5F76F5}">
  <cacheSource type="worksheet">
    <worksheetSource ref="A1:Q2065" sheet="RealMart_Sales"/>
  </cacheSource>
  <cacheFields count="18">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330996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4B102-EE00-47A4-85E2-3F4477949C0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6:C106"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82CDFA-9789-4A70-963E-B78BE49F8DA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8:C112"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5C89D-A29E-4E77-8CA6-0E6FB97BF9A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2:G142"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8B20C-B7FD-46B3-BCCE-7610F832FB2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8" firstHeaderRow="1" firstDataRow="1" firstDataCol="1"/>
  <pivotFields count="18">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12261D-3352-4BA4-88D9-4794A0DBC5F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G16" firstHeaderRow="1" firstDataRow="1" firstDataCol="1"/>
  <pivotFields count="18">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51CA53-9507-409C-89C6-1FDBDD48062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I26" firstHeaderRow="1" firstDataRow="2" firstDataCol="1"/>
  <pivotFields count="18">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8426D3-A0B1-4C44-86B6-7A16419083F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16"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0895A2-067F-46FA-8044-473E0F75C7E6}"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9:M109"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A968FC-7C3D-4C9A-AF1E-3CE84A028BE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G35"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DCB62D-8BDC-4E90-91D8-FB08BE48056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K20" firstHeaderRow="1" firstDataRow="1" firstDataCol="0"/>
  <pivotFields count="18">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86903C-C202-4705-A46F-29F2060F187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1"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285C4E-97F9-400C-8A67-4A9F66A56B6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4:C121"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709BF4-FE11-4984-A782-38395680E48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C14" firstHeaderRow="1" firstDataRow="1" firstDataCol="1"/>
  <pivotFields count="18">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856ED1-EF43-47BE-A3AA-4FAEEF6350F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7:G41" firstHeaderRow="1" firstDataRow="1" firstDataCol="1"/>
  <pivotFields count="18">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55E735-B7B5-4F9E-9097-C20AF000949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3:H50" firstHeaderRow="0"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C6A94B06-8043-4ED4-BBCC-1F9445502F92}" sourceName="Branch">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133099622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500AFE6-0F77-4475-92DC-3B7DC043039F}" sourceName="City">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133099622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358C3956-6CFF-43C7-9D0C-5BCA47250536}" sourceName="Product line">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1330996221">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210DF7-9ADB-40C2-9E80-FA40C7C2B193}" sourceName="Gender">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s>
  <data>
    <tabular pivotCacheId="13309962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960331CE-8767-4178-BBDB-5E3C0354F0EB}" cache="Slicer_Branch1" caption="Branch" style="Slicer Style 2" rowHeight="220133"/>
  <slicer name="City 1" xr10:uid="{CDC76ABA-A3A6-4469-B6D7-DEE83E5A792B}" cache="Slicer_City1" caption="City" style="Slicer Style 2" rowHeight="220133"/>
  <slicer name="Product line 1" xr10:uid="{5E73C7DD-7205-40ED-951B-D49FCC40658B}" cache="Slicer_Product_line1" caption="Product line" style="Slicer Style 2" rowHeight="220133"/>
  <slicer name="Gender 1" xr10:uid="{1B4CEAC6-F64F-4D14-929E-040D06885204}" cache="Slicer_Gender" caption="Gender" style="Slicer Style 2"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364E5EB5-E988-4807-9392-91FC79B62934}" sourceName="Time">
  <pivotTables>
    <pivotTable tabId="4" name="PivotTable15"/>
  </pivotTables>
  <state minimalRefreshVersion="6" lastRefreshVersion="6" pivotCacheId="1330996221"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A349FE42-7569-412D-ADF5-1FEFA6D61C39}" cache="NativeTimeline_Time" caption="Time" level="3" selectionLevel="2" scrollPosition="1899-12-31T00:00:00" style="Timeline Style 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065"/>
  <sheetViews>
    <sheetView topLeftCell="H1" workbookViewId="0">
      <pane ySplit="1" topLeftCell="A2046" activePane="bottomLeft" state="frozen"/>
      <selection pane="bottomLeft" activeCell="D7" sqref="D7"/>
    </sheetView>
  </sheetViews>
  <sheetFormatPr defaultColWidth="12.6328125" defaultRowHeight="15.75" customHeight="1" x14ac:dyDescent="0.25"/>
  <cols>
    <col min="1" max="1" width="12.6328125" customWidth="1"/>
    <col min="2" max="2" width="8.08984375" customWidth="1"/>
    <col min="3" max="3" width="11.36328125" customWidth="1"/>
    <col min="4" max="4" width="12.6328125" customWidth="1"/>
    <col min="5" max="5" width="8.6328125" customWidth="1"/>
    <col min="6" max="6" width="23.36328125" customWidth="1"/>
    <col min="8" max="8" width="8.08984375" customWidth="1"/>
    <col min="9" max="9" width="10.90625" customWidth="1"/>
    <col min="10" max="10" width="8.08984375" customWidth="1"/>
    <col min="12" max="12" width="10.453125" customWidth="1"/>
    <col min="15" max="15" width="15.1796875" customWidth="1"/>
  </cols>
  <sheetData>
    <row r="1" spans="1:17" ht="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2.5" x14ac:dyDescent="0.25">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17" ht="25.5" customHeight="1" x14ac:dyDescent="0.25">
      <c r="A3" s="1" t="s">
        <v>24</v>
      </c>
      <c r="B3" s="1" t="s">
        <v>18</v>
      </c>
      <c r="C3" s="1" t="s">
        <v>25</v>
      </c>
      <c r="D3" s="1" t="s">
        <v>20</v>
      </c>
      <c r="E3" s="1" t="s">
        <v>21</v>
      </c>
      <c r="F3" s="1" t="s">
        <v>22</v>
      </c>
      <c r="G3" s="1">
        <v>10.17</v>
      </c>
      <c r="H3" s="1">
        <v>1</v>
      </c>
      <c r="I3" s="1">
        <v>0.50849999999999995</v>
      </c>
      <c r="J3" s="1">
        <v>10.6785</v>
      </c>
      <c r="K3" s="4">
        <v>43648</v>
      </c>
      <c r="L3" s="3">
        <v>0.59375</v>
      </c>
      <c r="M3" s="1" t="s">
        <v>23</v>
      </c>
      <c r="N3" s="1">
        <v>10.17</v>
      </c>
      <c r="O3" s="1">
        <v>4.7619047620000003</v>
      </c>
      <c r="P3" s="1">
        <v>0.50849999999999995</v>
      </c>
      <c r="Q3" s="1">
        <v>5.9</v>
      </c>
    </row>
    <row r="4" spans="1:17" ht="12.5" x14ac:dyDescent="0.25">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row>
    <row r="5" spans="1:17" ht="12.5" x14ac:dyDescent="0.25">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row>
    <row r="6" spans="1:17" ht="12.5" x14ac:dyDescent="0.25">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row>
    <row r="7" spans="1:17" ht="18.75" customHeight="1" x14ac:dyDescent="0.25">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row>
    <row r="8" spans="1:17" ht="12.5" x14ac:dyDescent="0.25">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row>
    <row r="9" spans="1:17" ht="12.5" x14ac:dyDescent="0.25">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row>
    <row r="10" spans="1:17" ht="12.5" x14ac:dyDescent="0.25">
      <c r="A10" s="1" t="s">
        <v>41</v>
      </c>
      <c r="B10" s="1" t="s">
        <v>33</v>
      </c>
      <c r="C10" s="1" t="s">
        <v>19</v>
      </c>
      <c r="D10" s="1" t="s">
        <v>28</v>
      </c>
      <c r="E10" s="1" t="s">
        <v>21</v>
      </c>
      <c r="F10" s="1" t="s">
        <v>30</v>
      </c>
      <c r="G10" s="1">
        <v>12.78</v>
      </c>
      <c r="H10" s="1">
        <v>1</v>
      </c>
      <c r="I10" s="1">
        <v>0.63900000000000001</v>
      </c>
      <c r="J10" s="1">
        <v>13.419</v>
      </c>
      <c r="K10" s="4">
        <v>43678</v>
      </c>
      <c r="L10" s="3">
        <v>0.59097222222222223</v>
      </c>
      <c r="M10" s="1" t="s">
        <v>40</v>
      </c>
      <c r="N10" s="1">
        <v>12.78</v>
      </c>
      <c r="O10" s="1">
        <v>4.7619047620000003</v>
      </c>
      <c r="P10" s="1">
        <v>0.63900000000000001</v>
      </c>
      <c r="Q10" s="1">
        <v>9.5</v>
      </c>
    </row>
    <row r="11" spans="1:17" ht="12.5" x14ac:dyDescent="0.25">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row>
    <row r="12" spans="1:17" ht="12.5" x14ac:dyDescent="0.25">
      <c r="A12" s="1" t="s">
        <v>43</v>
      </c>
      <c r="B12" s="1" t="s">
        <v>33</v>
      </c>
      <c r="C12" s="1" t="s">
        <v>19</v>
      </c>
      <c r="D12" s="1" t="s">
        <v>20</v>
      </c>
      <c r="E12" s="1" t="s">
        <v>21</v>
      </c>
      <c r="F12" s="1"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row>
    <row r="13" spans="1:17" ht="12.5" x14ac:dyDescent="0.25">
      <c r="A13" s="1" t="s">
        <v>45</v>
      </c>
      <c r="B13" s="1" t="s">
        <v>33</v>
      </c>
      <c r="C13" s="1" t="s">
        <v>25</v>
      </c>
      <c r="D13" s="1" t="s">
        <v>28</v>
      </c>
      <c r="E13" s="1" t="s">
        <v>29</v>
      </c>
      <c r="F13" s="1"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row>
    <row r="14" spans="1:17" ht="12.5" x14ac:dyDescent="0.25">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row>
    <row r="15" spans="1:17" ht="12.5" x14ac:dyDescent="0.25">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row>
    <row r="16" spans="1:17" ht="12.5" x14ac:dyDescent="0.25">
      <c r="A16" s="1" t="s">
        <v>51</v>
      </c>
      <c r="B16" s="1" t="s">
        <v>18</v>
      </c>
      <c r="C16" s="1" t="s">
        <v>19</v>
      </c>
      <c r="D16" s="1" t="s">
        <v>28</v>
      </c>
      <c r="E16" s="1" t="s">
        <v>21</v>
      </c>
      <c r="F16" s="1" t="s">
        <v>30</v>
      </c>
      <c r="G16" s="1">
        <v>16.28</v>
      </c>
      <c r="H16" s="1">
        <v>1</v>
      </c>
      <c r="I16" s="1">
        <v>0.81399999999999995</v>
      </c>
      <c r="J16" s="1">
        <v>17.094000000000001</v>
      </c>
      <c r="K16" s="4">
        <v>43711</v>
      </c>
      <c r="L16" s="3">
        <v>0.65</v>
      </c>
      <c r="M16" s="1" t="s">
        <v>23</v>
      </c>
      <c r="N16" s="1">
        <v>16.28</v>
      </c>
      <c r="O16" s="1">
        <v>4.7619047620000003</v>
      </c>
      <c r="P16" s="1">
        <v>0.81399999999999995</v>
      </c>
      <c r="Q16" s="1">
        <v>5</v>
      </c>
    </row>
    <row r="17" spans="1:17" ht="12.5" x14ac:dyDescent="0.25">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row>
    <row r="18" spans="1:17" ht="12.5" x14ac:dyDescent="0.25">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row>
    <row r="19" spans="1:17" ht="20.25" customHeight="1" x14ac:dyDescent="0.25">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row>
    <row r="20" spans="1:17" ht="12.5" x14ac:dyDescent="0.25">
      <c r="A20" s="1" t="s">
        <v>59</v>
      </c>
      <c r="B20" s="1" t="s">
        <v>33</v>
      </c>
      <c r="C20" s="1" t="s">
        <v>27</v>
      </c>
      <c r="D20" s="1" t="s">
        <v>20</v>
      </c>
      <c r="E20" s="1" t="s">
        <v>21</v>
      </c>
      <c r="F20" s="1"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row>
    <row r="21" spans="1:17" ht="12.5" x14ac:dyDescent="0.25">
      <c r="A21" s="1" t="s">
        <v>60</v>
      </c>
      <c r="B21" s="1" t="s">
        <v>18</v>
      </c>
      <c r="C21" s="1" t="s">
        <v>27</v>
      </c>
      <c r="D21" s="1" t="s">
        <v>20</v>
      </c>
      <c r="E21" s="1" t="s">
        <v>21</v>
      </c>
      <c r="F21" s="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row>
    <row r="22" spans="1:17" ht="12.5" x14ac:dyDescent="0.25">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row>
    <row r="23" spans="1:17" ht="12.5" x14ac:dyDescent="0.25">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row>
    <row r="24" spans="1:17" ht="12.5" x14ac:dyDescent="0.25">
      <c r="A24" s="1" t="s">
        <v>64</v>
      </c>
      <c r="B24" s="1" t="s">
        <v>33</v>
      </c>
      <c r="C24" s="1" t="s">
        <v>27</v>
      </c>
      <c r="D24" s="1" t="s">
        <v>28</v>
      </c>
      <c r="E24" s="1" t="s">
        <v>21</v>
      </c>
      <c r="F24" s="1"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row>
    <row r="25" spans="1:17" ht="12.5" x14ac:dyDescent="0.25">
      <c r="A25" s="1" t="s">
        <v>65</v>
      </c>
      <c r="B25" s="1" t="s">
        <v>33</v>
      </c>
      <c r="C25" s="1" t="s">
        <v>25</v>
      </c>
      <c r="D25" s="1" t="s">
        <v>20</v>
      </c>
      <c r="E25" s="1" t="s">
        <v>21</v>
      </c>
      <c r="F25" s="1"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row>
    <row r="26" spans="1:17" ht="12.5" x14ac:dyDescent="0.25">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row>
    <row r="27" spans="1:17" ht="12.5" x14ac:dyDescent="0.25">
      <c r="A27" s="1" t="s">
        <v>67</v>
      </c>
      <c r="B27" s="1" t="s">
        <v>33</v>
      </c>
      <c r="C27" s="1" t="s">
        <v>19</v>
      </c>
      <c r="D27" s="1" t="s">
        <v>28</v>
      </c>
      <c r="E27" s="1" t="s">
        <v>21</v>
      </c>
      <c r="F27" s="1" t="s">
        <v>39</v>
      </c>
      <c r="G27" s="1">
        <v>21.58</v>
      </c>
      <c r="H27" s="1">
        <v>1</v>
      </c>
      <c r="I27" s="1">
        <v>1.079</v>
      </c>
      <c r="J27" s="1">
        <v>22.658999999999999</v>
      </c>
      <c r="K27" s="4">
        <v>43710</v>
      </c>
      <c r="L27" s="3">
        <v>0.41805555555555557</v>
      </c>
      <c r="M27" s="1" t="s">
        <v>40</v>
      </c>
      <c r="N27" s="1">
        <v>21.58</v>
      </c>
      <c r="O27" s="1">
        <v>4.7619047620000003</v>
      </c>
      <c r="P27" s="1">
        <v>1.079</v>
      </c>
      <c r="Q27" s="1">
        <v>7.2</v>
      </c>
    </row>
    <row r="28" spans="1:17" ht="12.5" x14ac:dyDescent="0.25">
      <c r="A28" s="1" t="s">
        <v>68</v>
      </c>
      <c r="B28" s="1" t="s">
        <v>33</v>
      </c>
      <c r="C28" s="1" t="s">
        <v>19</v>
      </c>
      <c r="D28" s="1" t="s">
        <v>28</v>
      </c>
      <c r="E28" s="1" t="s">
        <v>21</v>
      </c>
      <c r="F28" s="1" t="s">
        <v>39</v>
      </c>
      <c r="G28" s="1">
        <v>21.58</v>
      </c>
      <c r="H28" s="1">
        <v>1</v>
      </c>
      <c r="I28" s="1">
        <v>1.079</v>
      </c>
      <c r="J28" s="1">
        <v>22.658999999999999</v>
      </c>
      <c r="K28" s="4">
        <v>43710</v>
      </c>
      <c r="L28" s="3">
        <v>0.41805555555555557</v>
      </c>
      <c r="M28" s="1" t="s">
        <v>40</v>
      </c>
      <c r="N28" s="1">
        <v>21.58</v>
      </c>
      <c r="O28" s="1">
        <v>4.7619047620000003</v>
      </c>
      <c r="P28" s="1">
        <v>1.079</v>
      </c>
      <c r="Q28" s="1">
        <v>7.2</v>
      </c>
    </row>
    <row r="29" spans="1:17" ht="12.5" x14ac:dyDescent="0.25">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row>
    <row r="30" spans="1:17" ht="12.5" x14ac:dyDescent="0.25">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row>
    <row r="31" spans="1:17" ht="12.5" x14ac:dyDescent="0.25">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row>
    <row r="32" spans="1:17" ht="12.5" x14ac:dyDescent="0.25">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row>
    <row r="33" spans="1:17" ht="12.5" x14ac:dyDescent="0.25">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row>
    <row r="34" spans="1:17" ht="12.5" x14ac:dyDescent="0.25">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row>
    <row r="35" spans="1:17" ht="12.5" x14ac:dyDescent="0.25">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row>
    <row r="36" spans="1:17" ht="12.5" x14ac:dyDescent="0.25">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row>
    <row r="37" spans="1:17" ht="12.5" x14ac:dyDescent="0.25">
      <c r="A37" s="1" t="s">
        <v>80</v>
      </c>
      <c r="B37" s="1" t="s">
        <v>33</v>
      </c>
      <c r="C37" s="1" t="s">
        <v>27</v>
      </c>
      <c r="D37" s="1" t="s">
        <v>28</v>
      </c>
      <c r="E37" s="1" t="s">
        <v>21</v>
      </c>
      <c r="F37" s="1" t="s">
        <v>39</v>
      </c>
      <c r="G37" s="1">
        <v>25</v>
      </c>
      <c r="H37" s="1">
        <v>1</v>
      </c>
      <c r="I37" s="1">
        <v>1.25</v>
      </c>
      <c r="J37" s="1">
        <v>26.25</v>
      </c>
      <c r="K37" s="4">
        <v>43527</v>
      </c>
      <c r="L37" s="3">
        <v>0.63124999999999998</v>
      </c>
      <c r="M37" s="1" t="s">
        <v>40</v>
      </c>
      <c r="N37" s="1">
        <v>25</v>
      </c>
      <c r="O37" s="1">
        <v>4.7619047620000003</v>
      </c>
      <c r="P37" s="1">
        <v>1.25</v>
      </c>
      <c r="Q37" s="1">
        <v>5.5</v>
      </c>
    </row>
    <row r="38" spans="1:17" ht="12.5" x14ac:dyDescent="0.25">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row>
    <row r="39" spans="1:17" ht="12.5" x14ac:dyDescent="0.25">
      <c r="A39" s="1" t="s">
        <v>83</v>
      </c>
      <c r="B39" s="1" t="s">
        <v>54</v>
      </c>
      <c r="C39" s="1" t="s">
        <v>25</v>
      </c>
      <c r="D39" s="1" t="s">
        <v>28</v>
      </c>
      <c r="E39" s="1" t="s">
        <v>29</v>
      </c>
      <c r="F39" s="1" t="s">
        <v>84</v>
      </c>
      <c r="G39" s="1">
        <v>25.45</v>
      </c>
      <c r="H39" s="1">
        <v>1</v>
      </c>
      <c r="I39" s="1">
        <v>1.2725</v>
      </c>
      <c r="J39" s="1">
        <v>26.7225</v>
      </c>
      <c r="K39" s="4">
        <v>43741</v>
      </c>
      <c r="L39" s="3">
        <v>0.75694444444444442</v>
      </c>
      <c r="M39" s="1" t="s">
        <v>23</v>
      </c>
      <c r="N39" s="1">
        <v>25.45</v>
      </c>
      <c r="O39" s="1">
        <v>4.7619047620000003</v>
      </c>
      <c r="P39" s="1">
        <v>1.2725</v>
      </c>
      <c r="Q39" s="1">
        <v>5.0999999999999996</v>
      </c>
    </row>
    <row r="40" spans="1:17" ht="12.5" x14ac:dyDescent="0.25">
      <c r="A40" s="1" t="s">
        <v>85</v>
      </c>
      <c r="B40" s="1" t="s">
        <v>54</v>
      </c>
      <c r="C40" s="1" t="s">
        <v>25</v>
      </c>
      <c r="D40" s="1" t="s">
        <v>28</v>
      </c>
      <c r="E40" s="1" t="s">
        <v>21</v>
      </c>
      <c r="F40" s="1" t="s">
        <v>84</v>
      </c>
      <c r="G40" s="1">
        <v>25.45</v>
      </c>
      <c r="H40" s="1">
        <v>1</v>
      </c>
      <c r="I40" s="1">
        <v>1.2725</v>
      </c>
      <c r="J40" s="1">
        <v>26.7225</v>
      </c>
      <c r="K40" s="4">
        <v>43741</v>
      </c>
      <c r="L40" s="3">
        <v>0.75694444444444442</v>
      </c>
      <c r="M40" s="1" t="s">
        <v>48</v>
      </c>
      <c r="N40" s="1">
        <v>25.45</v>
      </c>
      <c r="O40" s="1">
        <v>4.7619047620000003</v>
      </c>
      <c r="P40" s="1">
        <v>1.2725</v>
      </c>
      <c r="Q40" s="1">
        <v>5.0999999999999996</v>
      </c>
    </row>
    <row r="41" spans="1:17" ht="12.5" x14ac:dyDescent="0.25">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row>
    <row r="42" spans="1:17" ht="12.5" x14ac:dyDescent="0.25">
      <c r="A42" s="1" t="s">
        <v>88</v>
      </c>
      <c r="B42" s="1" t="s">
        <v>33</v>
      </c>
      <c r="C42" s="1" t="s">
        <v>27</v>
      </c>
      <c r="D42" s="1" t="s">
        <v>20</v>
      </c>
      <c r="E42" s="1" t="s">
        <v>21</v>
      </c>
      <c r="F42" s="1" t="s">
        <v>22</v>
      </c>
      <c r="G42" s="1">
        <v>12.76</v>
      </c>
      <c r="H42" s="1">
        <v>2</v>
      </c>
      <c r="I42" s="1">
        <v>1.276</v>
      </c>
      <c r="J42" s="1">
        <v>26.795999999999999</v>
      </c>
      <c r="K42" s="4">
        <v>43678</v>
      </c>
      <c r="L42" s="3">
        <v>0.75416666666666665</v>
      </c>
      <c r="M42" s="1" t="s">
        <v>23</v>
      </c>
      <c r="N42" s="1">
        <v>25.52</v>
      </c>
      <c r="O42" s="1">
        <v>4.7619047620000003</v>
      </c>
      <c r="P42" s="1">
        <v>1.276</v>
      </c>
      <c r="Q42" s="1">
        <v>7.8</v>
      </c>
    </row>
    <row r="43" spans="1:17" ht="12.5" x14ac:dyDescent="0.25">
      <c r="A43" s="1" t="s">
        <v>89</v>
      </c>
      <c r="B43" s="1" t="s">
        <v>33</v>
      </c>
      <c r="C43" s="1" t="s">
        <v>25</v>
      </c>
      <c r="D43" s="1" t="s">
        <v>20</v>
      </c>
      <c r="E43" s="1" t="s">
        <v>21</v>
      </c>
      <c r="F43" s="1" t="s">
        <v>22</v>
      </c>
      <c r="G43" s="1">
        <v>12.76</v>
      </c>
      <c r="H43" s="1">
        <v>2</v>
      </c>
      <c r="I43" s="1">
        <v>1.276</v>
      </c>
      <c r="J43" s="1">
        <v>26.795999999999999</v>
      </c>
      <c r="K43" s="4">
        <v>43678</v>
      </c>
      <c r="L43" s="3">
        <v>0.75416666666666665</v>
      </c>
      <c r="M43" s="1" t="s">
        <v>23</v>
      </c>
      <c r="N43" s="1">
        <v>25.52</v>
      </c>
      <c r="O43" s="1">
        <v>4.7619047620000003</v>
      </c>
      <c r="P43" s="1">
        <v>1.276</v>
      </c>
      <c r="Q43" s="1">
        <v>7.8</v>
      </c>
    </row>
    <row r="44" spans="1:17" ht="12.5" x14ac:dyDescent="0.25">
      <c r="A44" s="1" t="s">
        <v>90</v>
      </c>
      <c r="B44" s="1" t="s">
        <v>33</v>
      </c>
      <c r="C44" s="1" t="s">
        <v>27</v>
      </c>
      <c r="D44" s="1" t="s">
        <v>20</v>
      </c>
      <c r="E44" s="1" t="s">
        <v>21</v>
      </c>
      <c r="F44" s="1" t="s">
        <v>22</v>
      </c>
      <c r="G44" s="1">
        <v>12.76</v>
      </c>
      <c r="H44" s="1">
        <v>2</v>
      </c>
      <c r="I44" s="1">
        <v>1.276</v>
      </c>
      <c r="J44" s="1">
        <v>26.795999999999999</v>
      </c>
      <c r="K44" s="4">
        <v>43678</v>
      </c>
      <c r="L44" s="3">
        <v>0.75416666666666665</v>
      </c>
      <c r="M44" s="1" t="s">
        <v>23</v>
      </c>
      <c r="N44" s="1">
        <v>25.52</v>
      </c>
      <c r="O44" s="1">
        <v>4.7619047620000003</v>
      </c>
      <c r="P44" s="1">
        <v>1.276</v>
      </c>
      <c r="Q44" s="1">
        <v>7.8</v>
      </c>
    </row>
    <row r="45" spans="1:17" ht="12.5" x14ac:dyDescent="0.25">
      <c r="A45" s="1" t="s">
        <v>91</v>
      </c>
      <c r="B45" s="1" t="s">
        <v>18</v>
      </c>
      <c r="C45" s="1" t="s">
        <v>25</v>
      </c>
      <c r="D45" s="1" t="s">
        <v>20</v>
      </c>
      <c r="E45" s="1" t="s">
        <v>29</v>
      </c>
      <c r="F45" s="1"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row>
    <row r="46" spans="1:17" ht="12.5" x14ac:dyDescent="0.25">
      <c r="A46" s="1" t="s">
        <v>92</v>
      </c>
      <c r="B46" s="1" t="s">
        <v>33</v>
      </c>
      <c r="C46" s="1" t="s">
        <v>25</v>
      </c>
      <c r="D46" s="1" t="s">
        <v>20</v>
      </c>
      <c r="E46" s="1" t="s">
        <v>29</v>
      </c>
      <c r="F46" s="1"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row>
    <row r="47" spans="1:17" ht="12.5" x14ac:dyDescent="0.25">
      <c r="A47" s="1" t="s">
        <v>93</v>
      </c>
      <c r="B47" s="1" t="s">
        <v>18</v>
      </c>
      <c r="C47" s="1" t="s">
        <v>25</v>
      </c>
      <c r="D47" s="1" t="s">
        <v>28</v>
      </c>
      <c r="E47" s="1" t="s">
        <v>21</v>
      </c>
      <c r="F47" s="1"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row>
    <row r="48" spans="1:17" ht="12.5" x14ac:dyDescent="0.25">
      <c r="A48" s="1" t="s">
        <v>94</v>
      </c>
      <c r="B48" s="1" t="s">
        <v>18</v>
      </c>
      <c r="C48" s="1" t="s">
        <v>27</v>
      </c>
      <c r="D48" s="1" t="s">
        <v>28</v>
      </c>
      <c r="E48" s="1" t="s">
        <v>29</v>
      </c>
      <c r="F48" s="1" t="s">
        <v>84</v>
      </c>
      <c r="G48" s="1">
        <v>28.96</v>
      </c>
      <c r="H48" s="1">
        <v>1</v>
      </c>
      <c r="I48" s="1">
        <v>1.448</v>
      </c>
      <c r="J48" s="1">
        <v>30.408000000000001</v>
      </c>
      <c r="K48" s="4">
        <v>43648</v>
      </c>
      <c r="L48" s="3">
        <v>0.42916666666666664</v>
      </c>
      <c r="M48" s="1" t="s">
        <v>23</v>
      </c>
      <c r="N48" s="1">
        <v>28.96</v>
      </c>
      <c r="O48" s="1">
        <v>4.7619047620000003</v>
      </c>
      <c r="P48" s="1">
        <v>1.448</v>
      </c>
      <c r="Q48" s="1">
        <v>6.2</v>
      </c>
    </row>
    <row r="49" spans="1:17" ht="12.5" x14ac:dyDescent="0.25">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row>
    <row r="50" spans="1:17" ht="12.5" x14ac:dyDescent="0.25">
      <c r="A50" s="1" t="s">
        <v>96</v>
      </c>
      <c r="B50" s="1" t="s">
        <v>18</v>
      </c>
      <c r="C50" s="1" t="s">
        <v>27</v>
      </c>
      <c r="D50" s="1" t="s">
        <v>28</v>
      </c>
      <c r="E50" s="1" t="s">
        <v>21</v>
      </c>
      <c r="F50" s="1" t="s">
        <v>84</v>
      </c>
      <c r="G50" s="1">
        <v>28.96</v>
      </c>
      <c r="H50" s="1">
        <v>1</v>
      </c>
      <c r="I50" s="1">
        <v>1.448</v>
      </c>
      <c r="J50" s="1">
        <v>30.408000000000001</v>
      </c>
      <c r="K50" s="4">
        <v>43648</v>
      </c>
      <c r="L50" s="3">
        <v>0.42916666666666664</v>
      </c>
      <c r="M50" s="1" t="s">
        <v>23</v>
      </c>
      <c r="N50" s="1">
        <v>28.96</v>
      </c>
      <c r="O50" s="1">
        <v>4.7619047620000003</v>
      </c>
      <c r="P50" s="1">
        <v>1.448</v>
      </c>
      <c r="Q50" s="1">
        <v>6.2</v>
      </c>
    </row>
    <row r="51" spans="1:17" ht="12.5" x14ac:dyDescent="0.25">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row>
    <row r="52" spans="1:17" ht="12.5" x14ac:dyDescent="0.25">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row>
    <row r="53" spans="1:17" ht="12.5" x14ac:dyDescent="0.25">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row>
    <row r="54" spans="1:17" ht="12.5" x14ac:dyDescent="0.25">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row>
    <row r="55" spans="1:17" ht="12.5" x14ac:dyDescent="0.25">
      <c r="A55" s="1" t="s">
        <v>103</v>
      </c>
      <c r="B55" s="1" t="s">
        <v>18</v>
      </c>
      <c r="C55" s="1" t="s">
        <v>25</v>
      </c>
      <c r="D55" s="1" t="s">
        <v>28</v>
      </c>
      <c r="E55" s="1" t="s">
        <v>29</v>
      </c>
      <c r="F55" s="1" t="s">
        <v>84</v>
      </c>
      <c r="G55" s="1">
        <v>30.24</v>
      </c>
      <c r="H55" s="1">
        <v>1</v>
      </c>
      <c r="I55" s="1">
        <v>1.512</v>
      </c>
      <c r="J55" s="1">
        <v>31.751999999999999</v>
      </c>
      <c r="K55" s="4">
        <v>43558</v>
      </c>
      <c r="L55" s="3">
        <v>0.65555555555555556</v>
      </c>
      <c r="M55" s="1" t="s">
        <v>23</v>
      </c>
      <c r="N55" s="1">
        <v>30.24</v>
      </c>
      <c r="O55" s="1">
        <v>4.7619047620000003</v>
      </c>
      <c r="P55" s="1">
        <v>1.512</v>
      </c>
      <c r="Q55" s="1">
        <v>8.4</v>
      </c>
    </row>
    <row r="56" spans="1:17" ht="12.5" x14ac:dyDescent="0.25">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row>
    <row r="57" spans="1:17" ht="12.5" x14ac:dyDescent="0.25">
      <c r="A57" s="1" t="s">
        <v>105</v>
      </c>
      <c r="B57" s="1" t="s">
        <v>18</v>
      </c>
      <c r="C57" s="1" t="s">
        <v>25</v>
      </c>
      <c r="D57" s="1" t="s">
        <v>28</v>
      </c>
      <c r="E57" s="1" t="s">
        <v>29</v>
      </c>
      <c r="F57" s="1" t="s">
        <v>84</v>
      </c>
      <c r="G57" s="1">
        <v>30.24</v>
      </c>
      <c r="H57" s="1">
        <v>1</v>
      </c>
      <c r="I57" s="1">
        <v>1.512</v>
      </c>
      <c r="J57" s="1">
        <v>31.751999999999999</v>
      </c>
      <c r="K57" s="4">
        <v>43558</v>
      </c>
      <c r="L57" s="3">
        <v>0.65555555555555556</v>
      </c>
      <c r="M57" s="1" t="s">
        <v>23</v>
      </c>
      <c r="N57" s="1">
        <v>30.24</v>
      </c>
      <c r="O57" s="1">
        <v>4.7619047620000003</v>
      </c>
      <c r="P57" s="1">
        <v>1.512</v>
      </c>
      <c r="Q57" s="1">
        <v>8.4</v>
      </c>
    </row>
    <row r="58" spans="1:17" ht="12.5" x14ac:dyDescent="0.25">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row>
    <row r="59" spans="1:17" ht="12.5" x14ac:dyDescent="0.25">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row>
    <row r="60" spans="1:17" ht="12.5" x14ac:dyDescent="0.25">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row>
    <row r="61" spans="1:17" ht="12.5" x14ac:dyDescent="0.25">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row>
    <row r="62" spans="1:17" ht="12.5" x14ac:dyDescent="0.25">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row>
    <row r="63" spans="1:17" ht="12.5" x14ac:dyDescent="0.25">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row>
    <row r="64" spans="1:17" ht="12.5" x14ac:dyDescent="0.25">
      <c r="A64" s="1" t="s">
        <v>113</v>
      </c>
      <c r="B64" s="1" t="s">
        <v>33</v>
      </c>
      <c r="C64" s="1" t="s">
        <v>25</v>
      </c>
      <c r="D64" s="1" t="s">
        <v>20</v>
      </c>
      <c r="E64" s="1" t="s">
        <v>29</v>
      </c>
      <c r="F64" s="1"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row>
    <row r="65" spans="1:17" ht="12.5" x14ac:dyDescent="0.25">
      <c r="A65" s="1" t="s">
        <v>114</v>
      </c>
      <c r="B65" s="1" t="s">
        <v>33</v>
      </c>
      <c r="C65" s="1" t="s">
        <v>25</v>
      </c>
      <c r="D65" s="1" t="s">
        <v>20</v>
      </c>
      <c r="E65" s="1" t="s">
        <v>29</v>
      </c>
      <c r="F65" s="1"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row>
    <row r="66" spans="1:17" ht="12.5" x14ac:dyDescent="0.25">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row>
    <row r="67" spans="1:17" ht="12.5" x14ac:dyDescent="0.25">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row>
    <row r="68" spans="1:17" ht="12.5" x14ac:dyDescent="0.25">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row>
    <row r="69" spans="1:17" ht="12.5" x14ac:dyDescent="0.25">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row>
    <row r="70" spans="1:17" ht="12.5" x14ac:dyDescent="0.25">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row>
    <row r="71" spans="1:17" ht="12.5" x14ac:dyDescent="0.25">
      <c r="A71" s="1" t="s">
        <v>122</v>
      </c>
      <c r="B71" s="1" t="s">
        <v>54</v>
      </c>
      <c r="C71" s="1" t="s">
        <v>25</v>
      </c>
      <c r="D71" s="1" t="s">
        <v>20</v>
      </c>
      <c r="E71" s="1" t="s">
        <v>21</v>
      </c>
      <c r="F71" s="1" t="s">
        <v>84</v>
      </c>
      <c r="G71" s="1">
        <v>10.59</v>
      </c>
      <c r="H71" s="1">
        <v>3</v>
      </c>
      <c r="I71" s="1">
        <v>1.5885</v>
      </c>
      <c r="J71" s="1">
        <v>33.358499999999999</v>
      </c>
      <c r="K71" s="4">
        <v>43802</v>
      </c>
      <c r="L71" s="3">
        <v>0.57777777777777772</v>
      </c>
      <c r="M71" s="1" t="s">
        <v>48</v>
      </c>
      <c r="N71" s="1">
        <v>31.77</v>
      </c>
      <c r="O71" s="1">
        <v>4.7619047620000003</v>
      </c>
      <c r="P71" s="1">
        <v>1.5885</v>
      </c>
      <c r="Q71" s="1">
        <v>8.6999999999999993</v>
      </c>
    </row>
    <row r="72" spans="1:17" ht="12.5" x14ac:dyDescent="0.25">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row>
    <row r="73" spans="1:17" ht="12.5" x14ac:dyDescent="0.25">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row>
    <row r="74" spans="1:17" ht="12.5" x14ac:dyDescent="0.25">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row>
    <row r="75" spans="1:17" ht="12.5" x14ac:dyDescent="0.25">
      <c r="A75" s="1" t="s">
        <v>126</v>
      </c>
      <c r="B75" s="1" t="s">
        <v>33</v>
      </c>
      <c r="C75" s="1" t="s">
        <v>25</v>
      </c>
      <c r="D75" s="1" t="s">
        <v>20</v>
      </c>
      <c r="E75" s="1" t="s">
        <v>21</v>
      </c>
      <c r="F75" s="1"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row>
    <row r="76" spans="1:17" ht="12.5" x14ac:dyDescent="0.25">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row>
    <row r="77" spans="1:17" ht="12.5" x14ac:dyDescent="0.25">
      <c r="A77" s="1" t="s">
        <v>128</v>
      </c>
      <c r="B77" s="1" t="s">
        <v>18</v>
      </c>
      <c r="C77" s="1" t="s">
        <v>19</v>
      </c>
      <c r="D77" s="1" t="s">
        <v>20</v>
      </c>
      <c r="E77" s="1" t="s">
        <v>29</v>
      </c>
      <c r="F77" s="1" t="s">
        <v>30</v>
      </c>
      <c r="G77" s="1">
        <v>31.9</v>
      </c>
      <c r="H77" s="1">
        <v>1</v>
      </c>
      <c r="I77" s="1">
        <v>1.595</v>
      </c>
      <c r="J77" s="1">
        <v>33.494999999999997</v>
      </c>
      <c r="K77" s="4">
        <v>43586</v>
      </c>
      <c r="L77" s="3">
        <v>0.52777777777777779</v>
      </c>
      <c r="M77" s="1" t="s">
        <v>23</v>
      </c>
      <c r="N77" s="1">
        <v>31.9</v>
      </c>
      <c r="O77" s="1">
        <v>4.7619047620000003</v>
      </c>
      <c r="P77" s="1">
        <v>1.595</v>
      </c>
      <c r="Q77" s="1">
        <v>9.1</v>
      </c>
    </row>
    <row r="78" spans="1:17" ht="12.5" x14ac:dyDescent="0.25">
      <c r="A78" s="1" t="s">
        <v>129</v>
      </c>
      <c r="B78" s="1" t="s">
        <v>18</v>
      </c>
      <c r="C78" s="1" t="s">
        <v>25</v>
      </c>
      <c r="D78" s="1" t="s">
        <v>20</v>
      </c>
      <c r="E78" s="1" t="s">
        <v>21</v>
      </c>
      <c r="F78" s="1" t="s">
        <v>39</v>
      </c>
      <c r="G78" s="1">
        <v>31.9</v>
      </c>
      <c r="H78" s="1">
        <v>1</v>
      </c>
      <c r="I78" s="1">
        <v>1.595</v>
      </c>
      <c r="J78" s="1">
        <v>33.494999999999997</v>
      </c>
      <c r="K78" s="4">
        <v>43586</v>
      </c>
      <c r="L78" s="3">
        <v>0.52777777777777779</v>
      </c>
      <c r="M78" s="1" t="s">
        <v>23</v>
      </c>
      <c r="N78" s="1">
        <v>31.9</v>
      </c>
      <c r="O78" s="1">
        <v>4.7619047620000003</v>
      </c>
      <c r="P78" s="1">
        <v>1.595</v>
      </c>
      <c r="Q78" s="1">
        <v>9.1</v>
      </c>
    </row>
    <row r="79" spans="1:17" ht="12.5" x14ac:dyDescent="0.25">
      <c r="A79" s="1" t="s">
        <v>130</v>
      </c>
      <c r="B79" s="1" t="s">
        <v>33</v>
      </c>
      <c r="C79" s="1" t="s">
        <v>25</v>
      </c>
      <c r="D79" s="1" t="s">
        <v>28</v>
      </c>
      <c r="E79" s="1" t="s">
        <v>21</v>
      </c>
      <c r="F79" s="1" t="s">
        <v>44</v>
      </c>
      <c r="G79" s="1">
        <v>16.16</v>
      </c>
      <c r="H79" s="1">
        <v>2</v>
      </c>
      <c r="I79" s="1">
        <v>1.6160000000000001</v>
      </c>
      <c r="J79" s="1">
        <v>33.936</v>
      </c>
      <c r="K79" s="4">
        <v>43649</v>
      </c>
      <c r="L79" s="3">
        <v>0.49236111111111114</v>
      </c>
      <c r="M79" s="1" t="s">
        <v>40</v>
      </c>
      <c r="N79" s="1">
        <v>32.32</v>
      </c>
      <c r="O79" s="1">
        <v>4.7619047620000003</v>
      </c>
      <c r="P79" s="1">
        <v>1.6160000000000001</v>
      </c>
      <c r="Q79" s="1">
        <v>6.5</v>
      </c>
    </row>
    <row r="80" spans="1:17" ht="12.5" x14ac:dyDescent="0.25">
      <c r="A80" s="1" t="s">
        <v>131</v>
      </c>
      <c r="B80" s="1" t="s">
        <v>33</v>
      </c>
      <c r="C80" s="1" t="s">
        <v>25</v>
      </c>
      <c r="D80" s="1" t="s">
        <v>20</v>
      </c>
      <c r="E80" s="1" t="s">
        <v>21</v>
      </c>
      <c r="F80" s="1"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row>
    <row r="81" spans="1:17" ht="12.5" x14ac:dyDescent="0.25">
      <c r="A81" s="1" t="s">
        <v>132</v>
      </c>
      <c r="B81" s="1" t="s">
        <v>54</v>
      </c>
      <c r="C81" s="1" t="s">
        <v>25</v>
      </c>
      <c r="D81" s="1" t="s">
        <v>28</v>
      </c>
      <c r="E81" s="1" t="s">
        <v>21</v>
      </c>
      <c r="F81" s="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row>
    <row r="82" spans="1:17" ht="12.5" x14ac:dyDescent="0.25">
      <c r="A82" s="1" t="s">
        <v>133</v>
      </c>
      <c r="B82" s="1" t="s">
        <v>54</v>
      </c>
      <c r="C82" s="1" t="s">
        <v>19</v>
      </c>
      <c r="D82" s="1" t="s">
        <v>28</v>
      </c>
      <c r="E82" s="1" t="s">
        <v>21</v>
      </c>
      <c r="F82" s="1"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row>
    <row r="83" spans="1:17" ht="12.5" x14ac:dyDescent="0.25">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row>
    <row r="84" spans="1:17" ht="12.5" x14ac:dyDescent="0.25">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row>
    <row r="85" spans="1:17" ht="12.5" x14ac:dyDescent="0.25">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row>
    <row r="86" spans="1:17" ht="12.5" x14ac:dyDescent="0.25">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row>
    <row r="87" spans="1:17" ht="12.5" x14ac:dyDescent="0.25">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row>
    <row r="88" spans="1:17" ht="12.5" x14ac:dyDescent="0.25">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row>
    <row r="89" spans="1:17" ht="12.5" x14ac:dyDescent="0.25">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row>
    <row r="90" spans="1:17" ht="12.5" x14ac:dyDescent="0.25">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row>
    <row r="91" spans="1:17" ht="12.5" x14ac:dyDescent="0.25">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row>
    <row r="92" spans="1:17" ht="12.5" x14ac:dyDescent="0.25">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row>
    <row r="93" spans="1:17" ht="12.5" x14ac:dyDescent="0.25">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row>
    <row r="94" spans="1:17" ht="12.5" x14ac:dyDescent="0.25">
      <c r="A94" s="1" t="s">
        <v>148</v>
      </c>
      <c r="B94" s="1" t="s">
        <v>18</v>
      </c>
      <c r="C94" s="1" t="s">
        <v>25</v>
      </c>
      <c r="D94" s="1" t="s">
        <v>28</v>
      </c>
      <c r="E94" s="1" t="s">
        <v>21</v>
      </c>
      <c r="F94" s="1" t="s">
        <v>44</v>
      </c>
      <c r="G94" s="1">
        <v>37</v>
      </c>
      <c r="H94" s="1">
        <v>1</v>
      </c>
      <c r="I94" s="1">
        <v>1.85</v>
      </c>
      <c r="J94" s="1">
        <v>38.85</v>
      </c>
      <c r="K94" s="4">
        <v>43619</v>
      </c>
      <c r="L94" s="3">
        <v>0.56180555555555556</v>
      </c>
      <c r="M94" s="1" t="s">
        <v>48</v>
      </c>
      <c r="N94" s="1">
        <v>37</v>
      </c>
      <c r="O94" s="1">
        <v>4.7619047620000003</v>
      </c>
      <c r="P94" s="1">
        <v>1.85</v>
      </c>
      <c r="Q94" s="1">
        <v>7.9</v>
      </c>
    </row>
    <row r="95" spans="1:17" ht="12.5" x14ac:dyDescent="0.25">
      <c r="A95" s="1" t="s">
        <v>149</v>
      </c>
      <c r="B95" s="1" t="s">
        <v>18</v>
      </c>
      <c r="C95" s="1" t="s">
        <v>25</v>
      </c>
      <c r="D95" s="1" t="s">
        <v>20</v>
      </c>
      <c r="E95" s="1" t="s">
        <v>29</v>
      </c>
      <c r="F95" s="1" t="s">
        <v>39</v>
      </c>
      <c r="G95" s="1">
        <v>38.42</v>
      </c>
      <c r="H95" s="1">
        <v>1</v>
      </c>
      <c r="I95" s="1">
        <v>1.921</v>
      </c>
      <c r="J95" s="1">
        <v>40.341000000000001</v>
      </c>
      <c r="K95" s="4">
        <v>43498</v>
      </c>
      <c r="L95" s="3">
        <v>0.68958333333333333</v>
      </c>
      <c r="M95" s="1" t="s">
        <v>23</v>
      </c>
      <c r="N95" s="1">
        <v>38.42</v>
      </c>
      <c r="O95" s="1">
        <v>4.7619047620000003</v>
      </c>
      <c r="P95" s="1">
        <v>1.921</v>
      </c>
      <c r="Q95" s="1">
        <v>8.6</v>
      </c>
    </row>
    <row r="96" spans="1:17" ht="12.5" x14ac:dyDescent="0.25">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row>
    <row r="97" spans="1:17" ht="12.5" x14ac:dyDescent="0.25">
      <c r="A97" s="1" t="s">
        <v>151</v>
      </c>
      <c r="B97" s="1" t="s">
        <v>18</v>
      </c>
      <c r="C97" s="1" t="s">
        <v>25</v>
      </c>
      <c r="D97" s="1" t="s">
        <v>20</v>
      </c>
      <c r="E97" s="1" t="s">
        <v>21</v>
      </c>
      <c r="F97" s="1" t="s">
        <v>39</v>
      </c>
      <c r="G97" s="1">
        <v>38.42</v>
      </c>
      <c r="H97" s="1">
        <v>1</v>
      </c>
      <c r="I97" s="1">
        <v>1.921</v>
      </c>
      <c r="J97" s="1">
        <v>40.341000000000001</v>
      </c>
      <c r="K97" s="4">
        <v>43498</v>
      </c>
      <c r="L97" s="3">
        <v>0.68958333333333333</v>
      </c>
      <c r="M97" s="1" t="s">
        <v>23</v>
      </c>
      <c r="N97" s="1">
        <v>38.42</v>
      </c>
      <c r="O97" s="1">
        <v>4.7619047620000003</v>
      </c>
      <c r="P97" s="1">
        <v>1.921</v>
      </c>
      <c r="Q97" s="1">
        <v>8.6</v>
      </c>
    </row>
    <row r="98" spans="1:17" ht="12.5" x14ac:dyDescent="0.25">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row>
    <row r="99" spans="1:17" ht="12.5" x14ac:dyDescent="0.25">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row>
    <row r="100" spans="1:17" ht="12.5" x14ac:dyDescent="0.25">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row>
    <row r="101" spans="1:17" ht="12.5" x14ac:dyDescent="0.25">
      <c r="A101" s="1" t="s">
        <v>156</v>
      </c>
      <c r="B101" s="1" t="s">
        <v>54</v>
      </c>
      <c r="C101" s="1" t="s">
        <v>25</v>
      </c>
      <c r="D101" s="1" t="s">
        <v>28</v>
      </c>
      <c r="E101" s="1" t="s">
        <v>21</v>
      </c>
      <c r="F101" s="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row>
    <row r="102" spans="1:17" ht="12.5" x14ac:dyDescent="0.25">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row>
    <row r="103" spans="1:17" ht="12.5" x14ac:dyDescent="0.25">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row>
    <row r="104" spans="1:17" ht="12.5" x14ac:dyDescent="0.25">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row>
    <row r="105" spans="1:17" ht="12.5" x14ac:dyDescent="0.25">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row>
    <row r="106" spans="1:17" ht="12.5" x14ac:dyDescent="0.25">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row>
    <row r="107" spans="1:17" ht="12.5" x14ac:dyDescent="0.25">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row>
    <row r="108" spans="1:17" ht="12.5" x14ac:dyDescent="0.25">
      <c r="A108" s="1" t="s">
        <v>165</v>
      </c>
      <c r="B108" s="1" t="s">
        <v>54</v>
      </c>
      <c r="C108" s="1" t="s">
        <v>25</v>
      </c>
      <c r="D108" s="1" t="s">
        <v>20</v>
      </c>
      <c r="E108" s="1" t="s">
        <v>21</v>
      </c>
      <c r="F108" s="1"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row>
    <row r="109" spans="1:17" ht="12.5" x14ac:dyDescent="0.25">
      <c r="A109" s="1" t="s">
        <v>166</v>
      </c>
      <c r="B109" s="1" t="s">
        <v>18</v>
      </c>
      <c r="C109" s="1" t="s">
        <v>25</v>
      </c>
      <c r="D109" s="1" t="s">
        <v>20</v>
      </c>
      <c r="E109" s="1" t="s">
        <v>29</v>
      </c>
      <c r="F109" s="1"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row>
    <row r="110" spans="1:17" ht="12.5" x14ac:dyDescent="0.25">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row>
    <row r="111" spans="1:17" ht="12.5" x14ac:dyDescent="0.25">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17" ht="12.5" x14ac:dyDescent="0.25">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17" ht="12.5" x14ac:dyDescent="0.25">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17" ht="12.5" x14ac:dyDescent="0.25">
      <c r="A114" s="1" t="s">
        <v>172</v>
      </c>
      <c r="B114" s="1" t="s">
        <v>33</v>
      </c>
      <c r="C114" s="1" t="s">
        <v>27</v>
      </c>
      <c r="D114" s="1" t="s">
        <v>20</v>
      </c>
      <c r="E114" s="1" t="s">
        <v>21</v>
      </c>
      <c r="F114" s="1" t="s">
        <v>84</v>
      </c>
      <c r="G114" s="1">
        <v>20.89</v>
      </c>
      <c r="H114" s="1">
        <v>2</v>
      </c>
      <c r="I114" s="1">
        <v>2.089</v>
      </c>
      <c r="J114" s="1">
        <v>43.869</v>
      </c>
      <c r="K114" s="4">
        <v>43587</v>
      </c>
      <c r="L114" s="3">
        <v>0.78125</v>
      </c>
      <c r="M114" s="1" t="s">
        <v>23</v>
      </c>
      <c r="N114" s="1">
        <v>41.78</v>
      </c>
      <c r="O114" s="1">
        <v>4.7619047620000003</v>
      </c>
      <c r="P114" s="1">
        <v>2.089</v>
      </c>
      <c r="Q114" s="1">
        <v>9.8000000000000007</v>
      </c>
    </row>
    <row r="115" spans="1:17" ht="12.5" x14ac:dyDescent="0.25">
      <c r="A115" s="1" t="s">
        <v>173</v>
      </c>
      <c r="B115" s="1" t="s">
        <v>33</v>
      </c>
      <c r="C115" s="1" t="s">
        <v>27</v>
      </c>
      <c r="D115" s="1" t="s">
        <v>20</v>
      </c>
      <c r="E115" s="1" t="s">
        <v>21</v>
      </c>
      <c r="F115" s="1" t="s">
        <v>84</v>
      </c>
      <c r="G115" s="1">
        <v>20.89</v>
      </c>
      <c r="H115" s="1">
        <v>2</v>
      </c>
      <c r="I115" s="1">
        <v>2.089</v>
      </c>
      <c r="J115" s="1">
        <v>43.869</v>
      </c>
      <c r="K115" s="4">
        <v>43587</v>
      </c>
      <c r="L115" s="3">
        <v>0.78125</v>
      </c>
      <c r="M115" s="1" t="s">
        <v>23</v>
      </c>
      <c r="N115" s="1">
        <v>41.78</v>
      </c>
      <c r="O115" s="1">
        <v>4.7619047620000003</v>
      </c>
      <c r="P115" s="1">
        <v>2.089</v>
      </c>
      <c r="Q115" s="1">
        <v>9.8000000000000007</v>
      </c>
    </row>
    <row r="116" spans="1:17" ht="12.5" x14ac:dyDescent="0.25">
      <c r="A116" s="1" t="s">
        <v>174</v>
      </c>
      <c r="B116" s="1" t="s">
        <v>33</v>
      </c>
      <c r="C116" s="1" t="s">
        <v>27</v>
      </c>
      <c r="D116" s="1" t="s">
        <v>20</v>
      </c>
      <c r="E116" s="1" t="s">
        <v>21</v>
      </c>
      <c r="F116" s="1" t="s">
        <v>84</v>
      </c>
      <c r="G116" s="1">
        <v>20.89</v>
      </c>
      <c r="H116" s="1">
        <v>2</v>
      </c>
      <c r="I116" s="1">
        <v>2.089</v>
      </c>
      <c r="J116" s="1">
        <v>43.869</v>
      </c>
      <c r="K116" s="4">
        <v>43587</v>
      </c>
      <c r="L116" s="3">
        <v>0.78125</v>
      </c>
      <c r="M116" s="1" t="s">
        <v>23</v>
      </c>
      <c r="N116" s="1">
        <v>41.78</v>
      </c>
      <c r="O116" s="1">
        <v>4.7619047620000003</v>
      </c>
      <c r="P116" s="1">
        <v>2.089</v>
      </c>
      <c r="Q116" s="1">
        <v>9.8000000000000007</v>
      </c>
    </row>
    <row r="117" spans="1:17" ht="12.5" x14ac:dyDescent="0.25">
      <c r="A117" s="1" t="s">
        <v>175</v>
      </c>
      <c r="B117" s="1" t="s">
        <v>18</v>
      </c>
      <c r="C117" s="1" t="s">
        <v>25</v>
      </c>
      <c r="D117" s="1" t="s">
        <v>20</v>
      </c>
      <c r="E117" s="1" t="s">
        <v>21</v>
      </c>
      <c r="F117" s="1"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row>
    <row r="118" spans="1:17" ht="12.5" x14ac:dyDescent="0.25">
      <c r="A118" s="1" t="s">
        <v>176</v>
      </c>
      <c r="B118" s="1" t="s">
        <v>18</v>
      </c>
      <c r="C118" s="1" t="s">
        <v>25</v>
      </c>
      <c r="D118" s="1" t="s">
        <v>20</v>
      </c>
      <c r="E118" s="1" t="s">
        <v>21</v>
      </c>
      <c r="F118" s="1"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row>
    <row r="119" spans="1:17" ht="12.5" x14ac:dyDescent="0.25">
      <c r="A119" s="1" t="s">
        <v>177</v>
      </c>
      <c r="B119" s="1" t="s">
        <v>33</v>
      </c>
      <c r="C119" s="1" t="s">
        <v>27</v>
      </c>
      <c r="D119" s="1" t="s">
        <v>28</v>
      </c>
      <c r="E119" s="1" t="s">
        <v>21</v>
      </c>
      <c r="F119" s="1"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row>
    <row r="120" spans="1:17" ht="12.5" x14ac:dyDescent="0.25">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17" ht="12.5" x14ac:dyDescent="0.25">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17" ht="12.5" x14ac:dyDescent="0.25">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17" ht="12.5" x14ac:dyDescent="0.25">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17" ht="12.5" x14ac:dyDescent="0.25">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17" ht="12.5" x14ac:dyDescent="0.25">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17" ht="12.5" x14ac:dyDescent="0.25">
      <c r="A126" s="1" t="s">
        <v>186</v>
      </c>
      <c r="B126" s="1" t="s">
        <v>18</v>
      </c>
      <c r="C126" s="1" t="s">
        <v>25</v>
      </c>
      <c r="D126" s="1" t="s">
        <v>28</v>
      </c>
      <c r="E126" s="1" t="s">
        <v>21</v>
      </c>
      <c r="F126" s="1"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row>
    <row r="127" spans="1:17" ht="12.5" x14ac:dyDescent="0.25">
      <c r="A127" s="1" t="s">
        <v>187</v>
      </c>
      <c r="B127" s="1" t="s">
        <v>18</v>
      </c>
      <c r="C127" s="1" t="s">
        <v>27</v>
      </c>
      <c r="D127" s="1" t="s">
        <v>20</v>
      </c>
      <c r="E127" s="1" t="s">
        <v>29</v>
      </c>
      <c r="F127" s="1"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row>
    <row r="128" spans="1:17" ht="12.5" x14ac:dyDescent="0.25">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ht="12.5" x14ac:dyDescent="0.25">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ht="12.5" x14ac:dyDescent="0.25">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ht="12.5" x14ac:dyDescent="0.25">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ht="12.5" x14ac:dyDescent="0.25">
      <c r="A132" s="1" t="s">
        <v>192</v>
      </c>
      <c r="B132" s="1" t="s">
        <v>33</v>
      </c>
      <c r="C132" s="1" t="s">
        <v>25</v>
      </c>
      <c r="D132" s="1" t="s">
        <v>28</v>
      </c>
      <c r="E132" s="1" t="s">
        <v>21</v>
      </c>
      <c r="F132" s="1" t="s">
        <v>30</v>
      </c>
      <c r="G132" s="1">
        <v>46.41</v>
      </c>
      <c r="H132" s="1">
        <v>1</v>
      </c>
      <c r="I132" s="1">
        <v>2.3205</v>
      </c>
      <c r="J132" s="1">
        <v>48.730499999999999</v>
      </c>
      <c r="K132" s="4">
        <v>43527</v>
      </c>
      <c r="L132" s="3">
        <v>0.83750000000000002</v>
      </c>
      <c r="M132" s="1" t="s">
        <v>48</v>
      </c>
      <c r="N132" s="1">
        <v>46.41</v>
      </c>
      <c r="O132" s="1">
        <v>4.7619047620000003</v>
      </c>
      <c r="P132" s="1">
        <v>2.3205</v>
      </c>
      <c r="Q132" s="1">
        <v>4</v>
      </c>
    </row>
    <row r="133" spans="1:17" ht="12.5" x14ac:dyDescent="0.25">
      <c r="A133" s="1" t="s">
        <v>193</v>
      </c>
      <c r="B133" s="1" t="s">
        <v>33</v>
      </c>
      <c r="C133" s="1" t="s">
        <v>19</v>
      </c>
      <c r="D133" s="1" t="s">
        <v>28</v>
      </c>
      <c r="E133" s="1" t="s">
        <v>21</v>
      </c>
      <c r="F133" s="1"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row>
    <row r="134" spans="1:17" ht="12.5" x14ac:dyDescent="0.25">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ht="12.5" x14ac:dyDescent="0.25">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ht="12.5" x14ac:dyDescent="0.25">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ht="12.5" x14ac:dyDescent="0.25">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ht="12.5" x14ac:dyDescent="0.25">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ht="12.5" x14ac:dyDescent="0.25">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ht="12.5" x14ac:dyDescent="0.25">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ht="12.5" x14ac:dyDescent="0.25">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ht="12.5" x14ac:dyDescent="0.25">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ht="12.5" x14ac:dyDescent="0.25">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ht="12.5" x14ac:dyDescent="0.25">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ht="12.5" x14ac:dyDescent="0.25">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ht="12.5" x14ac:dyDescent="0.25">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ht="12.5" x14ac:dyDescent="0.25">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ht="12.5" x14ac:dyDescent="0.25">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ht="12.5" x14ac:dyDescent="0.25">
      <c r="A149" s="1" t="s">
        <v>210</v>
      </c>
      <c r="B149" s="1" t="s">
        <v>54</v>
      </c>
      <c r="C149" s="1" t="s">
        <v>25</v>
      </c>
      <c r="D149" s="1" t="s">
        <v>28</v>
      </c>
      <c r="E149" s="1" t="s">
        <v>21</v>
      </c>
      <c r="F149" s="1"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row>
    <row r="150" spans="1:17" ht="12.5" x14ac:dyDescent="0.25">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ht="12.5" x14ac:dyDescent="0.25">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ht="12.5" x14ac:dyDescent="0.25">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ht="12.5" x14ac:dyDescent="0.25">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ht="12.5" x14ac:dyDescent="0.25">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ht="12.5" x14ac:dyDescent="0.25">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ht="12.5" x14ac:dyDescent="0.25">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ht="12.5" x14ac:dyDescent="0.25">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ht="12.5" x14ac:dyDescent="0.25">
      <c r="A158" s="1" t="s">
        <v>221</v>
      </c>
      <c r="B158" s="1" t="s">
        <v>18</v>
      </c>
      <c r="C158" s="1" t="s">
        <v>25</v>
      </c>
      <c r="D158" s="1" t="s">
        <v>20</v>
      </c>
      <c r="E158" s="1" t="s">
        <v>21</v>
      </c>
      <c r="F158" s="1"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row>
    <row r="159" spans="1:17" ht="12.5" x14ac:dyDescent="0.25">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ht="12.5" x14ac:dyDescent="0.25">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ht="12.5" x14ac:dyDescent="0.25">
      <c r="A161" s="1" t="s">
        <v>224</v>
      </c>
      <c r="B161" s="1" t="s">
        <v>18</v>
      </c>
      <c r="C161" s="1" t="s">
        <v>25</v>
      </c>
      <c r="D161" s="1" t="s">
        <v>28</v>
      </c>
      <c r="E161" s="1" t="s">
        <v>29</v>
      </c>
      <c r="F161" s="1" t="s">
        <v>39</v>
      </c>
      <c r="G161" s="1">
        <v>52.42</v>
      </c>
      <c r="H161" s="1">
        <v>1</v>
      </c>
      <c r="I161" s="1">
        <v>2.621</v>
      </c>
      <c r="J161" s="1">
        <v>55.040999999999997</v>
      </c>
      <c r="K161" s="4">
        <v>43618</v>
      </c>
      <c r="L161" s="3">
        <v>0.43194444444444446</v>
      </c>
      <c r="M161" s="1" t="s">
        <v>48</v>
      </c>
      <c r="N161" s="1">
        <v>52.42</v>
      </c>
      <c r="O161" s="1">
        <v>4.7619047620000003</v>
      </c>
      <c r="P161" s="1">
        <v>2.621</v>
      </c>
      <c r="Q161" s="1">
        <v>6.3</v>
      </c>
    </row>
    <row r="162" spans="1:17" ht="12.5" x14ac:dyDescent="0.25">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ht="12.5" x14ac:dyDescent="0.25">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ht="12.5" x14ac:dyDescent="0.25">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ht="12.5" x14ac:dyDescent="0.25">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ht="12.5" x14ac:dyDescent="0.25">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ht="12.5" x14ac:dyDescent="0.25">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ht="12.5" x14ac:dyDescent="0.25">
      <c r="A168" s="1" t="s">
        <v>231</v>
      </c>
      <c r="B168" s="1" t="s">
        <v>54</v>
      </c>
      <c r="C168" s="1" t="s">
        <v>25</v>
      </c>
      <c r="D168" s="1" t="s">
        <v>20</v>
      </c>
      <c r="E168" s="1" t="s">
        <v>21</v>
      </c>
      <c r="F168" s="1"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row>
    <row r="169" spans="1:17" ht="12.5" x14ac:dyDescent="0.25">
      <c r="A169" s="1" t="s">
        <v>232</v>
      </c>
      <c r="B169" s="1" t="s">
        <v>54</v>
      </c>
      <c r="C169" s="1" t="s">
        <v>25</v>
      </c>
      <c r="D169" s="1" t="s">
        <v>20</v>
      </c>
      <c r="E169" s="1" t="s">
        <v>21</v>
      </c>
      <c r="F169" s="1"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row>
    <row r="170" spans="1:17" ht="12.5" x14ac:dyDescent="0.25">
      <c r="A170" s="1" t="s">
        <v>233</v>
      </c>
      <c r="B170" s="1" t="s">
        <v>54</v>
      </c>
      <c r="C170" s="1" t="s">
        <v>25</v>
      </c>
      <c r="D170" s="1" t="s">
        <v>20</v>
      </c>
      <c r="E170" s="1" t="s">
        <v>21</v>
      </c>
      <c r="F170" s="1"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row>
    <row r="171" spans="1:17" ht="12.5" x14ac:dyDescent="0.25">
      <c r="A171" s="1" t="s">
        <v>234</v>
      </c>
      <c r="B171" s="1" t="s">
        <v>54</v>
      </c>
      <c r="C171" s="1" t="s">
        <v>25</v>
      </c>
      <c r="D171" s="1" t="s">
        <v>20</v>
      </c>
      <c r="E171" s="1" t="s">
        <v>21</v>
      </c>
      <c r="F171" s="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row>
    <row r="172" spans="1:17" ht="12.5" x14ac:dyDescent="0.25">
      <c r="A172" s="1" t="s">
        <v>235</v>
      </c>
      <c r="B172" s="1" t="s">
        <v>33</v>
      </c>
      <c r="C172" s="1" t="s">
        <v>25</v>
      </c>
      <c r="D172" s="1" t="s">
        <v>20</v>
      </c>
      <c r="E172" s="1" t="s">
        <v>21</v>
      </c>
      <c r="F172" s="1"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row>
    <row r="173" spans="1:17" ht="12.5" x14ac:dyDescent="0.25">
      <c r="A173" s="1" t="s">
        <v>236</v>
      </c>
      <c r="B173" s="1" t="s">
        <v>33</v>
      </c>
      <c r="C173" s="1" t="s">
        <v>25</v>
      </c>
      <c r="D173" s="1" t="s">
        <v>20</v>
      </c>
      <c r="E173" s="1" t="s">
        <v>21</v>
      </c>
      <c r="F173" s="1"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row>
    <row r="174" spans="1:17" ht="12.5" x14ac:dyDescent="0.25">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ht="12.5" x14ac:dyDescent="0.25">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ht="12.5" x14ac:dyDescent="0.25">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ht="12.5" x14ac:dyDescent="0.25">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ht="12.5" x14ac:dyDescent="0.25">
      <c r="A178" s="1" t="s">
        <v>243</v>
      </c>
      <c r="B178" s="1" t="s">
        <v>33</v>
      </c>
      <c r="C178" s="1" t="s">
        <v>25</v>
      </c>
      <c r="D178" s="1" t="s">
        <v>28</v>
      </c>
      <c r="E178" s="1" t="s">
        <v>21</v>
      </c>
      <c r="F178" s="1"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row>
    <row r="179" spans="1:17" ht="12.5" x14ac:dyDescent="0.25">
      <c r="A179" s="1" t="s">
        <v>244</v>
      </c>
      <c r="B179" s="1" t="s">
        <v>33</v>
      </c>
      <c r="C179" s="1" t="s">
        <v>25</v>
      </c>
      <c r="D179" s="1" t="s">
        <v>28</v>
      </c>
      <c r="E179" s="1" t="s">
        <v>29</v>
      </c>
      <c r="F179" s="1"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row>
    <row r="180" spans="1:17" ht="12.5" x14ac:dyDescent="0.25">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ht="12.5" x14ac:dyDescent="0.25">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ht="12.5" x14ac:dyDescent="0.25">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ht="12.5" x14ac:dyDescent="0.25">
      <c r="A183" s="1" t="s">
        <v>249</v>
      </c>
      <c r="B183" s="1" t="s">
        <v>54</v>
      </c>
      <c r="C183" s="1" t="s">
        <v>25</v>
      </c>
      <c r="D183" s="1" t="s">
        <v>28</v>
      </c>
      <c r="E183" s="1" t="s">
        <v>29</v>
      </c>
      <c r="F183" s="1"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row>
    <row r="184" spans="1:17" ht="12.5" x14ac:dyDescent="0.25">
      <c r="A184" s="1" t="s">
        <v>250</v>
      </c>
      <c r="B184" s="1" t="s">
        <v>54</v>
      </c>
      <c r="C184" s="1" t="s">
        <v>25</v>
      </c>
      <c r="D184" s="1" t="s">
        <v>28</v>
      </c>
      <c r="E184" s="1" t="s">
        <v>29</v>
      </c>
      <c r="F184" s="1"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row>
    <row r="185" spans="1:17" ht="12.5" x14ac:dyDescent="0.25">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ht="12.5" x14ac:dyDescent="0.25">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ht="12.5" x14ac:dyDescent="0.25">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ht="12.5" x14ac:dyDescent="0.25">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ht="12.5" x14ac:dyDescent="0.25">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ht="12.5" x14ac:dyDescent="0.25">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ht="12.5" x14ac:dyDescent="0.25">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ht="12.5" x14ac:dyDescent="0.25">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ht="12.5" x14ac:dyDescent="0.25">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ht="12.5" x14ac:dyDescent="0.25">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ht="12.5" x14ac:dyDescent="0.25">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ht="12.5" x14ac:dyDescent="0.25">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ht="12.5" x14ac:dyDescent="0.25">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ht="12.5" x14ac:dyDescent="0.25">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ht="12.5" x14ac:dyDescent="0.25">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ht="12.5" x14ac:dyDescent="0.25">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ht="12.5" x14ac:dyDescent="0.25">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ht="12.5" x14ac:dyDescent="0.25">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ht="12.5" x14ac:dyDescent="0.25">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ht="12.5" x14ac:dyDescent="0.25">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ht="12.5" x14ac:dyDescent="0.25">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ht="12.5" x14ac:dyDescent="0.25">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ht="12.5" x14ac:dyDescent="0.25">
      <c r="A207" s="1" t="s">
        <v>277</v>
      </c>
      <c r="B207" s="1" t="s">
        <v>18</v>
      </c>
      <c r="C207" s="1" t="s">
        <v>25</v>
      </c>
      <c r="D207" s="1" t="s">
        <v>28</v>
      </c>
      <c r="E207" s="1" t="s">
        <v>29</v>
      </c>
      <c r="F207" s="1"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row>
    <row r="208" spans="1:17" ht="12.5" x14ac:dyDescent="0.25">
      <c r="A208" s="1" t="s">
        <v>278</v>
      </c>
      <c r="B208" s="1" t="s">
        <v>33</v>
      </c>
      <c r="C208" s="1" t="s">
        <v>25</v>
      </c>
      <c r="D208" s="1" t="s">
        <v>20</v>
      </c>
      <c r="E208" s="1" t="s">
        <v>29</v>
      </c>
      <c r="F208" s="1"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row>
    <row r="209" spans="1:17" ht="12.5" x14ac:dyDescent="0.25">
      <c r="A209" s="1" t="s">
        <v>279</v>
      </c>
      <c r="B209" s="1" t="s">
        <v>18</v>
      </c>
      <c r="C209" s="1" t="s">
        <v>25</v>
      </c>
      <c r="D209" s="1" t="s">
        <v>28</v>
      </c>
      <c r="E209" s="1" t="s">
        <v>21</v>
      </c>
      <c r="F209" s="1"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row>
    <row r="210" spans="1:17" ht="12.5" x14ac:dyDescent="0.25">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ht="12.5" x14ac:dyDescent="0.25">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ht="12.5" x14ac:dyDescent="0.25">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ht="12.5" x14ac:dyDescent="0.25">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ht="12.5" x14ac:dyDescent="0.25">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ht="12.5" x14ac:dyDescent="0.25">
      <c r="A215" s="1" t="s">
        <v>285</v>
      </c>
      <c r="B215" s="1" t="s">
        <v>54</v>
      </c>
      <c r="C215" s="1" t="s">
        <v>25</v>
      </c>
      <c r="D215" s="1" t="s">
        <v>20</v>
      </c>
      <c r="E215" s="1" t="s">
        <v>29</v>
      </c>
      <c r="F215" s="1"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row>
    <row r="216" spans="1:17" ht="12.5" x14ac:dyDescent="0.25">
      <c r="A216" s="1" t="s">
        <v>286</v>
      </c>
      <c r="B216" s="1" t="s">
        <v>33</v>
      </c>
      <c r="C216" s="1" t="s">
        <v>25</v>
      </c>
      <c r="D216" s="1" t="s">
        <v>20</v>
      </c>
      <c r="E216" s="1" t="s">
        <v>29</v>
      </c>
      <c r="F216" s="1"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row>
    <row r="217" spans="1:17" ht="12.5" x14ac:dyDescent="0.25">
      <c r="A217" s="1" t="s">
        <v>287</v>
      </c>
      <c r="B217" s="1" t="s">
        <v>18</v>
      </c>
      <c r="C217" s="1" t="s">
        <v>25</v>
      </c>
      <c r="D217" s="1" t="s">
        <v>28</v>
      </c>
      <c r="E217" s="1" t="s">
        <v>21</v>
      </c>
      <c r="F217" s="1" t="s">
        <v>30</v>
      </c>
      <c r="G217" s="1">
        <v>16.45</v>
      </c>
      <c r="H217" s="1">
        <v>4</v>
      </c>
      <c r="I217" s="1">
        <v>3.29</v>
      </c>
      <c r="J217" s="1">
        <v>69.09</v>
      </c>
      <c r="K217" s="4">
        <v>43649</v>
      </c>
      <c r="L217" s="3">
        <v>0.62013888888888891</v>
      </c>
      <c r="M217" s="1" t="s">
        <v>40</v>
      </c>
      <c r="N217" s="1">
        <v>65.8</v>
      </c>
      <c r="O217" s="1">
        <v>4.7619047620000003</v>
      </c>
      <c r="P217" s="1">
        <v>3.29</v>
      </c>
      <c r="Q217" s="1">
        <v>5.6</v>
      </c>
    </row>
    <row r="218" spans="1:17" ht="12.5" x14ac:dyDescent="0.25">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ht="12.5" x14ac:dyDescent="0.25">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ht="12.5" x14ac:dyDescent="0.25">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ht="12.5" x14ac:dyDescent="0.25">
      <c r="A221" s="1" t="s">
        <v>291</v>
      </c>
      <c r="B221" s="1" t="s">
        <v>54</v>
      </c>
      <c r="C221" s="1" t="s">
        <v>25</v>
      </c>
      <c r="D221" s="1" t="s">
        <v>20</v>
      </c>
      <c r="E221" s="1" t="s">
        <v>21</v>
      </c>
      <c r="F221" s="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row>
    <row r="222" spans="1:17" ht="12.5" x14ac:dyDescent="0.25">
      <c r="A222" s="1" t="s">
        <v>292</v>
      </c>
      <c r="B222" s="1" t="s">
        <v>54</v>
      </c>
      <c r="C222" s="1" t="s">
        <v>25</v>
      </c>
      <c r="D222" s="1" t="s">
        <v>20</v>
      </c>
      <c r="E222" s="1" t="s">
        <v>21</v>
      </c>
      <c r="F222" s="1"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row>
    <row r="223" spans="1:17" ht="12.5" x14ac:dyDescent="0.25">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ht="12.5" x14ac:dyDescent="0.25">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ht="12.5" x14ac:dyDescent="0.25">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ht="12.5" x14ac:dyDescent="0.25">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ht="12.5" x14ac:dyDescent="0.25">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ht="12.5" x14ac:dyDescent="0.25">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ht="12.5" x14ac:dyDescent="0.25">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ht="12.5" x14ac:dyDescent="0.25">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ht="12.5" x14ac:dyDescent="0.25">
      <c r="A231" s="1" t="s">
        <v>302</v>
      </c>
      <c r="B231" s="1" t="s">
        <v>18</v>
      </c>
      <c r="C231" s="1" t="s">
        <v>19</v>
      </c>
      <c r="D231" s="1" t="s">
        <v>28</v>
      </c>
      <c r="E231" s="1" t="s">
        <v>21</v>
      </c>
      <c r="F231" s="1" t="s">
        <v>55</v>
      </c>
      <c r="G231" s="1">
        <v>33.47</v>
      </c>
      <c r="H231" s="1">
        <v>2</v>
      </c>
      <c r="I231" s="1">
        <v>3.347</v>
      </c>
      <c r="J231" s="1">
        <v>70.287000000000006</v>
      </c>
      <c r="K231" s="4">
        <v>43740</v>
      </c>
      <c r="L231" s="3">
        <v>0.65486111111111112</v>
      </c>
      <c r="M231" s="1" t="s">
        <v>40</v>
      </c>
      <c r="N231" s="1">
        <v>66.94</v>
      </c>
      <c r="O231" s="1">
        <v>4.7619047620000003</v>
      </c>
      <c r="P231" s="1">
        <v>3.347</v>
      </c>
      <c r="Q231" s="1">
        <v>6.7</v>
      </c>
    </row>
    <row r="232" spans="1:17" ht="12.5" x14ac:dyDescent="0.25">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ht="12.5" x14ac:dyDescent="0.25">
      <c r="A233" s="1" t="s">
        <v>304</v>
      </c>
      <c r="B233" s="1" t="s">
        <v>54</v>
      </c>
      <c r="C233" s="1" t="s">
        <v>25</v>
      </c>
      <c r="D233" s="1" t="s">
        <v>28</v>
      </c>
      <c r="E233" s="1" t="s">
        <v>29</v>
      </c>
      <c r="F233" s="1"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row>
    <row r="234" spans="1:17" ht="12.5" x14ac:dyDescent="0.25">
      <c r="A234" s="1" t="s">
        <v>305</v>
      </c>
      <c r="B234" s="1" t="s">
        <v>18</v>
      </c>
      <c r="C234" s="1" t="s">
        <v>19</v>
      </c>
      <c r="D234" s="1" t="s">
        <v>20</v>
      </c>
      <c r="E234" s="1" t="s">
        <v>21</v>
      </c>
      <c r="F234" s="1"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row>
    <row r="235" spans="1:17" ht="12.5" x14ac:dyDescent="0.25">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ht="12.5" x14ac:dyDescent="0.25">
      <c r="A236" s="1" t="s">
        <v>307</v>
      </c>
      <c r="B236" s="1" t="s">
        <v>18</v>
      </c>
      <c r="C236" s="1" t="s">
        <v>19</v>
      </c>
      <c r="D236" s="1" t="s">
        <v>20</v>
      </c>
      <c r="E236" s="1" t="s">
        <v>21</v>
      </c>
      <c r="F236" s="1"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row>
    <row r="237" spans="1:17" ht="12.5" x14ac:dyDescent="0.25">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ht="12.5" x14ac:dyDescent="0.25">
      <c r="A238" s="1" t="s">
        <v>310</v>
      </c>
      <c r="B238" s="1" t="s">
        <v>33</v>
      </c>
      <c r="C238" s="1" t="s">
        <v>27</v>
      </c>
      <c r="D238" s="1" t="s">
        <v>28</v>
      </c>
      <c r="E238" s="1" t="s">
        <v>21</v>
      </c>
      <c r="F238" s="1"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row>
    <row r="239" spans="1:17" ht="12.5" x14ac:dyDescent="0.25">
      <c r="A239" s="1" t="s">
        <v>311</v>
      </c>
      <c r="B239" s="1" t="s">
        <v>18</v>
      </c>
      <c r="C239" s="1" t="s">
        <v>27</v>
      </c>
      <c r="D239" s="1" t="s">
        <v>28</v>
      </c>
      <c r="E239" s="1" t="s">
        <v>21</v>
      </c>
      <c r="F239" s="1"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row>
    <row r="240" spans="1:17" ht="12.5" x14ac:dyDescent="0.25">
      <c r="A240" s="1" t="s">
        <v>312</v>
      </c>
      <c r="B240" s="1" t="s">
        <v>18</v>
      </c>
      <c r="C240" s="1" t="s">
        <v>27</v>
      </c>
      <c r="D240" s="1" t="s">
        <v>28</v>
      </c>
      <c r="E240" s="1" t="s">
        <v>21</v>
      </c>
      <c r="F240" s="1"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row>
    <row r="241" spans="1:17" ht="12.5" x14ac:dyDescent="0.25">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ht="12.5" x14ac:dyDescent="0.25">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ht="12.5" x14ac:dyDescent="0.25">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ht="12.5" x14ac:dyDescent="0.25">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ht="12.5" x14ac:dyDescent="0.25">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ht="12.5" x14ac:dyDescent="0.25">
      <c r="A246" s="1" t="s">
        <v>319</v>
      </c>
      <c r="B246" s="1" t="s">
        <v>18</v>
      </c>
      <c r="C246" s="1" t="s">
        <v>27</v>
      </c>
      <c r="D246" s="1" t="s">
        <v>28</v>
      </c>
      <c r="E246" s="1" t="s">
        <v>21</v>
      </c>
      <c r="F246" s="1"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row>
    <row r="247" spans="1:17" ht="12.5" x14ac:dyDescent="0.25">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ht="12.5" x14ac:dyDescent="0.25">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ht="12.5" x14ac:dyDescent="0.25">
      <c r="A249" s="1" t="s">
        <v>323</v>
      </c>
      <c r="B249" s="1" t="s">
        <v>18</v>
      </c>
      <c r="C249" s="1" t="s">
        <v>27</v>
      </c>
      <c r="D249" s="1" t="s">
        <v>20</v>
      </c>
      <c r="E249" s="1" t="s">
        <v>21</v>
      </c>
      <c r="F249" s="1"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row>
    <row r="250" spans="1:17" ht="12.5" x14ac:dyDescent="0.25">
      <c r="A250" s="1" t="s">
        <v>324</v>
      </c>
      <c r="B250" s="1" t="s">
        <v>33</v>
      </c>
      <c r="C250" s="1" t="s">
        <v>27</v>
      </c>
      <c r="D250" s="1" t="s">
        <v>20</v>
      </c>
      <c r="E250" s="1" t="s">
        <v>21</v>
      </c>
      <c r="F250" s="1"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row>
    <row r="251" spans="1:17" ht="12.5" x14ac:dyDescent="0.25">
      <c r="A251" s="1" t="s">
        <v>325</v>
      </c>
      <c r="B251" s="1" t="s">
        <v>33</v>
      </c>
      <c r="C251" s="1" t="s">
        <v>27</v>
      </c>
      <c r="D251" s="1" t="s">
        <v>20</v>
      </c>
      <c r="E251" s="1" t="s">
        <v>29</v>
      </c>
      <c r="F251" s="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row>
    <row r="252" spans="1:17" ht="12.5" x14ac:dyDescent="0.25">
      <c r="A252" s="1" t="s">
        <v>326</v>
      </c>
      <c r="B252" s="1" t="s">
        <v>33</v>
      </c>
      <c r="C252" s="1" t="s">
        <v>25</v>
      </c>
      <c r="D252" s="1" t="s">
        <v>28</v>
      </c>
      <c r="E252" s="1" t="s">
        <v>29</v>
      </c>
      <c r="F252" s="1"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row>
    <row r="253" spans="1:17" ht="12.5" x14ac:dyDescent="0.25">
      <c r="A253" s="1" t="s">
        <v>327</v>
      </c>
      <c r="B253" s="1" t="s">
        <v>33</v>
      </c>
      <c r="C253" s="1" t="s">
        <v>19</v>
      </c>
      <c r="D253" s="1" t="s">
        <v>20</v>
      </c>
      <c r="E253" s="1" t="s">
        <v>29</v>
      </c>
      <c r="F253" s="1"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row>
    <row r="254" spans="1:17" ht="12.5" x14ac:dyDescent="0.25">
      <c r="A254" s="1" t="s">
        <v>328</v>
      </c>
      <c r="B254" s="1" t="s">
        <v>54</v>
      </c>
      <c r="C254" s="1" t="s">
        <v>25</v>
      </c>
      <c r="D254" s="1" t="s">
        <v>28</v>
      </c>
      <c r="E254" s="1" t="s">
        <v>29</v>
      </c>
      <c r="F254" s="1" t="s">
        <v>39</v>
      </c>
      <c r="G254" s="1">
        <v>71.2</v>
      </c>
      <c r="H254" s="1">
        <v>1</v>
      </c>
      <c r="I254" s="1">
        <v>3.56</v>
      </c>
      <c r="J254" s="1">
        <v>74.760000000000005</v>
      </c>
      <c r="K254" s="4">
        <v>43586</v>
      </c>
      <c r="L254" s="3">
        <v>0.86111111111111116</v>
      </c>
      <c r="M254" s="1" t="s">
        <v>23</v>
      </c>
      <c r="N254" s="1">
        <v>71.2</v>
      </c>
      <c r="O254" s="1">
        <v>4.7619047620000003</v>
      </c>
      <c r="P254" s="1">
        <v>3.56</v>
      </c>
      <c r="Q254" s="1">
        <v>9.1999999999999993</v>
      </c>
    </row>
    <row r="255" spans="1:17" ht="12.5" x14ac:dyDescent="0.25">
      <c r="A255" s="1" t="s">
        <v>329</v>
      </c>
      <c r="B255" s="1" t="s">
        <v>18</v>
      </c>
      <c r="C255" s="1" t="s">
        <v>25</v>
      </c>
      <c r="D255" s="1" t="s">
        <v>28</v>
      </c>
      <c r="E255" s="1" t="s">
        <v>29</v>
      </c>
      <c r="F255" s="1" t="s">
        <v>39</v>
      </c>
      <c r="G255" s="1">
        <v>71.2</v>
      </c>
      <c r="H255" s="1">
        <v>1</v>
      </c>
      <c r="I255" s="1">
        <v>3.56</v>
      </c>
      <c r="J255" s="1">
        <v>74.760000000000005</v>
      </c>
      <c r="K255" s="4">
        <v>43586</v>
      </c>
      <c r="L255" s="3">
        <v>0.86111111111111116</v>
      </c>
      <c r="M255" s="1" t="s">
        <v>48</v>
      </c>
      <c r="N255" s="1">
        <v>71.2</v>
      </c>
      <c r="O255" s="1">
        <v>4.7619047620000003</v>
      </c>
      <c r="P255" s="1">
        <v>3.56</v>
      </c>
      <c r="Q255" s="1">
        <v>9.1999999999999993</v>
      </c>
    </row>
    <row r="256" spans="1:17" ht="12.5" x14ac:dyDescent="0.25">
      <c r="A256" s="1" t="s">
        <v>330</v>
      </c>
      <c r="B256" s="1" t="s">
        <v>33</v>
      </c>
      <c r="C256" s="1" t="s">
        <v>25</v>
      </c>
      <c r="D256" s="1" t="s">
        <v>28</v>
      </c>
      <c r="E256" s="1" t="s">
        <v>29</v>
      </c>
      <c r="F256" s="1" t="s">
        <v>39</v>
      </c>
      <c r="G256" s="1">
        <v>71.2</v>
      </c>
      <c r="H256" s="1">
        <v>1</v>
      </c>
      <c r="I256" s="1">
        <v>3.56</v>
      </c>
      <c r="J256" s="1">
        <v>74.760000000000005</v>
      </c>
      <c r="K256" s="4">
        <v>43586</v>
      </c>
      <c r="L256" s="3">
        <v>0.86111111111111116</v>
      </c>
      <c r="M256" s="1" t="s">
        <v>40</v>
      </c>
      <c r="N256" s="1">
        <v>71.2</v>
      </c>
      <c r="O256" s="1">
        <v>4.7619047620000003</v>
      </c>
      <c r="P256" s="1">
        <v>3.56</v>
      </c>
      <c r="Q256" s="1">
        <v>9.1999999999999993</v>
      </c>
    </row>
    <row r="257" spans="1:17" ht="12.5" x14ac:dyDescent="0.25">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ht="12.5" x14ac:dyDescent="0.25">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ht="12.5" x14ac:dyDescent="0.25">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ht="12.5" x14ac:dyDescent="0.25">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ht="12.5" x14ac:dyDescent="0.25">
      <c r="A261" s="1" t="s">
        <v>335</v>
      </c>
      <c r="B261" s="1" t="s">
        <v>33</v>
      </c>
      <c r="C261" s="1" t="s">
        <v>25</v>
      </c>
      <c r="D261" s="1" t="s">
        <v>28</v>
      </c>
      <c r="E261" s="1" t="s">
        <v>21</v>
      </c>
      <c r="F261" s="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row>
    <row r="262" spans="1:17" ht="12.5" x14ac:dyDescent="0.25">
      <c r="A262" s="1" t="s">
        <v>336</v>
      </c>
      <c r="B262" s="1" t="s">
        <v>18</v>
      </c>
      <c r="C262" s="1" t="s">
        <v>25</v>
      </c>
      <c r="D262" s="1" t="s">
        <v>28</v>
      </c>
      <c r="E262" s="1" t="s">
        <v>21</v>
      </c>
      <c r="F262" s="1"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row>
    <row r="263" spans="1:17" ht="12.5" x14ac:dyDescent="0.25">
      <c r="A263" s="1" t="s">
        <v>337</v>
      </c>
      <c r="B263" s="1" t="s">
        <v>54</v>
      </c>
      <c r="C263" s="1" t="s">
        <v>25</v>
      </c>
      <c r="D263" s="1" t="s">
        <v>20</v>
      </c>
      <c r="E263" s="1" t="s">
        <v>21</v>
      </c>
      <c r="F263" s="1"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row>
    <row r="264" spans="1:17" ht="12.5" x14ac:dyDescent="0.25">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ht="12.5" x14ac:dyDescent="0.25">
      <c r="A265" s="1" t="s">
        <v>339</v>
      </c>
      <c r="B265" s="1" t="s">
        <v>33</v>
      </c>
      <c r="C265" s="1" t="s">
        <v>25</v>
      </c>
      <c r="D265" s="1" t="s">
        <v>20</v>
      </c>
      <c r="E265" s="1" t="s">
        <v>21</v>
      </c>
      <c r="F265" s="1"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row>
    <row r="266" spans="1:17" ht="12.5" x14ac:dyDescent="0.25">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ht="12.5" x14ac:dyDescent="0.25">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ht="12.5" x14ac:dyDescent="0.25">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ht="12.5" x14ac:dyDescent="0.25">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ht="12.5" x14ac:dyDescent="0.25">
      <c r="A270" s="1" t="s">
        <v>344</v>
      </c>
      <c r="B270" s="1" t="s">
        <v>33</v>
      </c>
      <c r="C270" s="1" t="s">
        <v>27</v>
      </c>
      <c r="D270" s="1" t="s">
        <v>28</v>
      </c>
      <c r="E270" s="1" t="s">
        <v>21</v>
      </c>
      <c r="F270" s="1"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row>
    <row r="271" spans="1:17" ht="12.5" x14ac:dyDescent="0.25">
      <c r="A271" s="1" t="s">
        <v>345</v>
      </c>
      <c r="B271" s="1" t="s">
        <v>33</v>
      </c>
      <c r="C271" s="1" t="s">
        <v>19</v>
      </c>
      <c r="D271" s="1" t="s">
        <v>28</v>
      </c>
      <c r="E271" s="1" t="s">
        <v>21</v>
      </c>
      <c r="F271" s="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row>
    <row r="272" spans="1:17" ht="12.5" x14ac:dyDescent="0.25">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ht="12.5" x14ac:dyDescent="0.25">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ht="12.5" x14ac:dyDescent="0.25">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ht="12.5" x14ac:dyDescent="0.25">
      <c r="A275" s="1" t="s">
        <v>349</v>
      </c>
      <c r="B275" s="1" t="s">
        <v>18</v>
      </c>
      <c r="C275" s="1" t="s">
        <v>19</v>
      </c>
      <c r="D275" s="1" t="s">
        <v>20</v>
      </c>
      <c r="E275" s="1" t="s">
        <v>21</v>
      </c>
      <c r="F275" s="1"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row>
    <row r="276" spans="1:17" ht="12.5" x14ac:dyDescent="0.25">
      <c r="A276" s="1" t="s">
        <v>350</v>
      </c>
      <c r="B276" s="1" t="s">
        <v>18</v>
      </c>
      <c r="C276" s="1" t="s">
        <v>25</v>
      </c>
      <c r="D276" s="1" t="s">
        <v>20</v>
      </c>
      <c r="E276" s="1" t="s">
        <v>21</v>
      </c>
      <c r="F276" s="1"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row>
    <row r="277" spans="1:17" ht="12.5" x14ac:dyDescent="0.25">
      <c r="A277" s="1" t="s">
        <v>351</v>
      </c>
      <c r="B277" s="1" t="s">
        <v>18</v>
      </c>
      <c r="C277" s="1" t="s">
        <v>19</v>
      </c>
      <c r="D277" s="1" t="s">
        <v>20</v>
      </c>
      <c r="E277" s="1" t="s">
        <v>21</v>
      </c>
      <c r="F277" s="1"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row>
    <row r="278" spans="1:17" ht="12.5" x14ac:dyDescent="0.25">
      <c r="A278" s="1" t="s">
        <v>352</v>
      </c>
      <c r="B278" s="1" t="s">
        <v>18</v>
      </c>
      <c r="C278" s="1" t="s">
        <v>19</v>
      </c>
      <c r="D278" s="1" t="s">
        <v>20</v>
      </c>
      <c r="E278" s="1" t="s">
        <v>21</v>
      </c>
      <c r="F278" s="1"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row>
    <row r="279" spans="1:17" ht="12.5" x14ac:dyDescent="0.25">
      <c r="A279" s="1" t="s">
        <v>353</v>
      </c>
      <c r="B279" s="1" t="s">
        <v>18</v>
      </c>
      <c r="C279" s="1" t="s">
        <v>27</v>
      </c>
      <c r="D279" s="1" t="s">
        <v>28</v>
      </c>
      <c r="E279" s="1" t="s">
        <v>21</v>
      </c>
      <c r="F279" s="1"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row>
    <row r="280" spans="1:17" ht="12.5" x14ac:dyDescent="0.25">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ht="12.5" x14ac:dyDescent="0.25">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ht="12.5" x14ac:dyDescent="0.25">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ht="12.5" x14ac:dyDescent="0.25">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ht="12.5" x14ac:dyDescent="0.25">
      <c r="A284" s="1" t="s">
        <v>359</v>
      </c>
      <c r="B284" s="1" t="s">
        <v>18</v>
      </c>
      <c r="C284" s="1" t="s">
        <v>25</v>
      </c>
      <c r="D284" s="1" t="s">
        <v>20</v>
      </c>
      <c r="E284" s="1" t="s">
        <v>29</v>
      </c>
      <c r="F284" s="1"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row>
    <row r="285" spans="1:17" ht="12.5" x14ac:dyDescent="0.25">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ht="12.5" x14ac:dyDescent="0.25">
      <c r="A286" s="1" t="s">
        <v>361</v>
      </c>
      <c r="B286" s="1" t="s">
        <v>18</v>
      </c>
      <c r="C286" s="1" t="s">
        <v>25</v>
      </c>
      <c r="D286" s="1" t="s">
        <v>20</v>
      </c>
      <c r="E286" s="1" t="s">
        <v>29</v>
      </c>
      <c r="F286" s="1"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row>
    <row r="287" spans="1:17" ht="12.5" x14ac:dyDescent="0.25">
      <c r="A287" s="1" t="s">
        <v>362</v>
      </c>
      <c r="B287" s="1" t="s">
        <v>18</v>
      </c>
      <c r="C287" s="1" t="s">
        <v>25</v>
      </c>
      <c r="D287" s="1" t="s">
        <v>20</v>
      </c>
      <c r="E287" s="1" t="s">
        <v>21</v>
      </c>
      <c r="F287" s="1"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row>
    <row r="288" spans="1:17" ht="12.5" x14ac:dyDescent="0.25">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ht="12.5" x14ac:dyDescent="0.25">
      <c r="A289" s="1" t="s">
        <v>364</v>
      </c>
      <c r="B289" s="1" t="s">
        <v>33</v>
      </c>
      <c r="C289" s="1" t="s">
        <v>25</v>
      </c>
      <c r="D289" s="1" t="s">
        <v>20</v>
      </c>
      <c r="E289" s="1" t="s">
        <v>21</v>
      </c>
      <c r="F289" s="1"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row>
    <row r="290" spans="1:17" ht="12.5" x14ac:dyDescent="0.25">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ht="12.5" x14ac:dyDescent="0.25">
      <c r="A291" s="1" t="s">
        <v>366</v>
      </c>
      <c r="B291" s="1" t="s">
        <v>33</v>
      </c>
      <c r="C291" s="1" t="s">
        <v>27</v>
      </c>
      <c r="D291" s="1" t="s">
        <v>28</v>
      </c>
      <c r="E291" s="1" t="s">
        <v>21</v>
      </c>
      <c r="F291" s="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row>
    <row r="292" spans="1:17" ht="12.5" x14ac:dyDescent="0.25">
      <c r="A292" s="1" t="s">
        <v>367</v>
      </c>
      <c r="B292" s="1" t="s">
        <v>18</v>
      </c>
      <c r="C292" s="1" t="s">
        <v>27</v>
      </c>
      <c r="D292" s="1" t="s">
        <v>28</v>
      </c>
      <c r="E292" s="1" t="s">
        <v>21</v>
      </c>
      <c r="F292" s="1"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row>
    <row r="293" spans="1:17" ht="12.5" x14ac:dyDescent="0.25">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ht="12.5" x14ac:dyDescent="0.25">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ht="12.5" x14ac:dyDescent="0.25">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ht="12.5" x14ac:dyDescent="0.25">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ht="12.5" x14ac:dyDescent="0.25">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ht="12.5" x14ac:dyDescent="0.25">
      <c r="A298" s="1" t="s">
        <v>375</v>
      </c>
      <c r="B298" s="1" t="s">
        <v>18</v>
      </c>
      <c r="C298" s="1" t="s">
        <v>25</v>
      </c>
      <c r="D298" s="1" t="s">
        <v>28</v>
      </c>
      <c r="E298" s="1" t="s">
        <v>21</v>
      </c>
      <c r="F298" s="1"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row>
    <row r="299" spans="1:17" ht="12.5" x14ac:dyDescent="0.25">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ht="12.5" x14ac:dyDescent="0.25">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ht="12.5" x14ac:dyDescent="0.25">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ht="12.5" x14ac:dyDescent="0.25">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ht="12.5" x14ac:dyDescent="0.25">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ht="12.5" x14ac:dyDescent="0.25">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ht="12.5" x14ac:dyDescent="0.25">
      <c r="A305" s="1" t="s">
        <v>383</v>
      </c>
      <c r="B305" s="1" t="s">
        <v>18</v>
      </c>
      <c r="C305" s="1" t="s">
        <v>19</v>
      </c>
      <c r="D305" s="1" t="s">
        <v>20</v>
      </c>
      <c r="E305" s="1" t="s">
        <v>21</v>
      </c>
      <c r="F305" s="1" t="s">
        <v>55</v>
      </c>
      <c r="G305" s="1">
        <v>75.88</v>
      </c>
      <c r="H305" s="1">
        <v>1</v>
      </c>
      <c r="I305" s="1">
        <v>3.794</v>
      </c>
      <c r="J305" s="1">
        <v>79.674000000000007</v>
      </c>
      <c r="K305" s="4">
        <v>43525</v>
      </c>
      <c r="L305" s="3">
        <v>0.4375</v>
      </c>
      <c r="M305" s="1" t="s">
        <v>23</v>
      </c>
      <c r="N305" s="1">
        <v>75.88</v>
      </c>
      <c r="O305" s="1">
        <v>4.7619047620000003</v>
      </c>
      <c r="P305" s="1">
        <v>3.794</v>
      </c>
      <c r="Q305" s="1">
        <v>7.1</v>
      </c>
    </row>
    <row r="306" spans="1:17" ht="12.5" x14ac:dyDescent="0.25">
      <c r="A306" s="1" t="s">
        <v>384</v>
      </c>
      <c r="B306" s="1" t="s">
        <v>18</v>
      </c>
      <c r="C306" s="1" t="s">
        <v>19</v>
      </c>
      <c r="D306" s="1" t="s">
        <v>20</v>
      </c>
      <c r="E306" s="1" t="s">
        <v>21</v>
      </c>
      <c r="F306" s="1" t="s">
        <v>39</v>
      </c>
      <c r="G306" s="1">
        <v>75.88</v>
      </c>
      <c r="H306" s="1">
        <v>1</v>
      </c>
      <c r="I306" s="1">
        <v>3.794</v>
      </c>
      <c r="J306" s="1">
        <v>79.674000000000007</v>
      </c>
      <c r="K306" s="4">
        <v>43525</v>
      </c>
      <c r="L306" s="3">
        <v>0.4375</v>
      </c>
      <c r="M306" s="1" t="s">
        <v>23</v>
      </c>
      <c r="N306" s="1">
        <v>75.88</v>
      </c>
      <c r="O306" s="1">
        <v>4.7619047620000003</v>
      </c>
      <c r="P306" s="1">
        <v>3.794</v>
      </c>
      <c r="Q306" s="1">
        <v>7.1</v>
      </c>
    </row>
    <row r="307" spans="1:17" ht="12.5" x14ac:dyDescent="0.25">
      <c r="A307" s="1" t="s">
        <v>385</v>
      </c>
      <c r="B307" s="1" t="s">
        <v>18</v>
      </c>
      <c r="C307" s="1" t="s">
        <v>19</v>
      </c>
      <c r="D307" s="1" t="s">
        <v>28</v>
      </c>
      <c r="E307" s="1" t="s">
        <v>21</v>
      </c>
      <c r="F307" s="1" t="s">
        <v>84</v>
      </c>
      <c r="G307" s="1">
        <v>15.28</v>
      </c>
      <c r="H307" s="1">
        <v>5</v>
      </c>
      <c r="I307" s="1">
        <v>3.82</v>
      </c>
      <c r="J307" s="1">
        <v>80.22</v>
      </c>
      <c r="K307" s="4">
        <v>43680</v>
      </c>
      <c r="L307" s="3">
        <v>0.43680555555555556</v>
      </c>
      <c r="M307" s="1" t="s">
        <v>23</v>
      </c>
      <c r="N307" s="1">
        <v>76.400000000000006</v>
      </c>
      <c r="O307" s="1">
        <v>4.7619047620000003</v>
      </c>
      <c r="P307" s="1">
        <v>3.82</v>
      </c>
      <c r="Q307" s="1">
        <v>9.6</v>
      </c>
    </row>
    <row r="308" spans="1:17" ht="12.5" x14ac:dyDescent="0.25">
      <c r="A308" s="1" t="s">
        <v>386</v>
      </c>
      <c r="B308" s="1" t="s">
        <v>18</v>
      </c>
      <c r="C308" s="1" t="s">
        <v>19</v>
      </c>
      <c r="D308" s="1" t="s">
        <v>28</v>
      </c>
      <c r="E308" s="1" t="s">
        <v>21</v>
      </c>
      <c r="F308" s="1" t="s">
        <v>84</v>
      </c>
      <c r="G308" s="1">
        <v>15.28</v>
      </c>
      <c r="H308" s="1">
        <v>5</v>
      </c>
      <c r="I308" s="1">
        <v>3.82</v>
      </c>
      <c r="J308" s="1">
        <v>80.22</v>
      </c>
      <c r="K308" s="4">
        <v>43680</v>
      </c>
      <c r="L308" s="3">
        <v>0.43680555555555556</v>
      </c>
      <c r="M308" s="1" t="s">
        <v>23</v>
      </c>
      <c r="N308" s="1">
        <v>76.400000000000006</v>
      </c>
      <c r="O308" s="1">
        <v>4.7619047620000003</v>
      </c>
      <c r="P308" s="1">
        <v>3.82</v>
      </c>
      <c r="Q308" s="1">
        <v>9.6</v>
      </c>
    </row>
    <row r="309" spans="1:17" ht="12.5" x14ac:dyDescent="0.25">
      <c r="A309" s="1" t="s">
        <v>387</v>
      </c>
      <c r="B309" s="1" t="s">
        <v>54</v>
      </c>
      <c r="C309" s="1" t="s">
        <v>25</v>
      </c>
      <c r="D309" s="1" t="s">
        <v>28</v>
      </c>
      <c r="E309" s="1" t="s">
        <v>29</v>
      </c>
      <c r="F309" s="1"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row>
    <row r="310" spans="1:17" ht="12.5" x14ac:dyDescent="0.25">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ht="12.5" x14ac:dyDescent="0.25">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ht="12.5" x14ac:dyDescent="0.25">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ht="12.5" x14ac:dyDescent="0.25">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ht="12.5" x14ac:dyDescent="0.25">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ht="12.5" x14ac:dyDescent="0.25">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ht="12.5" x14ac:dyDescent="0.25">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ht="12.5" x14ac:dyDescent="0.25">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ht="12.5" x14ac:dyDescent="0.25">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ht="12.5" x14ac:dyDescent="0.25">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ht="12.5" x14ac:dyDescent="0.25">
      <c r="A320" s="1" t="s">
        <v>399</v>
      </c>
      <c r="B320" s="1" t="s">
        <v>18</v>
      </c>
      <c r="C320" s="1" t="s">
        <v>27</v>
      </c>
      <c r="D320" s="1" t="s">
        <v>28</v>
      </c>
      <c r="E320" s="1" t="s">
        <v>21</v>
      </c>
      <c r="F320" s="1"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row>
    <row r="321" spans="1:17" ht="12.5" x14ac:dyDescent="0.25">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ht="12.5" x14ac:dyDescent="0.25">
      <c r="A322" s="1" t="s">
        <v>401</v>
      </c>
      <c r="B322" s="1" t="s">
        <v>54</v>
      </c>
      <c r="C322" s="1" t="s">
        <v>25</v>
      </c>
      <c r="D322" s="1" t="s">
        <v>20</v>
      </c>
      <c r="E322" s="1" t="s">
        <v>29</v>
      </c>
      <c r="F322" s="1"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row>
    <row r="323" spans="1:17" ht="12.5" x14ac:dyDescent="0.25">
      <c r="A323" s="1" t="s">
        <v>402</v>
      </c>
      <c r="B323" s="1" t="s">
        <v>54</v>
      </c>
      <c r="C323" s="1" t="s">
        <v>25</v>
      </c>
      <c r="D323" s="1" t="s">
        <v>20</v>
      </c>
      <c r="E323" s="1" t="s">
        <v>21</v>
      </c>
      <c r="F323" s="1"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row>
    <row r="324" spans="1:17" ht="12.5" x14ac:dyDescent="0.25">
      <c r="A324" s="1" t="s">
        <v>403</v>
      </c>
      <c r="B324" s="1" t="s">
        <v>54</v>
      </c>
      <c r="C324" s="1" t="s">
        <v>19</v>
      </c>
      <c r="D324" s="1" t="s">
        <v>20</v>
      </c>
      <c r="E324" s="1" t="s">
        <v>29</v>
      </c>
      <c r="F324" s="1"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row>
    <row r="325" spans="1:17" ht="12.5" x14ac:dyDescent="0.25">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ht="12.5" x14ac:dyDescent="0.25">
      <c r="A326" s="1" t="s">
        <v>405</v>
      </c>
      <c r="B326" s="1" t="s">
        <v>33</v>
      </c>
      <c r="C326" s="1" t="s">
        <v>25</v>
      </c>
      <c r="D326" s="1" t="s">
        <v>20</v>
      </c>
      <c r="E326" s="1" t="s">
        <v>29</v>
      </c>
      <c r="F326" s="1"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row>
    <row r="327" spans="1:17" ht="12.5" x14ac:dyDescent="0.25">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ht="12.5" x14ac:dyDescent="0.25">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ht="12.5" x14ac:dyDescent="0.25">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ht="12.5" x14ac:dyDescent="0.25">
      <c r="A330" s="1" t="s">
        <v>410</v>
      </c>
      <c r="B330" s="1" t="s">
        <v>18</v>
      </c>
      <c r="C330" s="1" t="s">
        <v>25</v>
      </c>
      <c r="D330" s="1" t="s">
        <v>28</v>
      </c>
      <c r="E330" s="1" t="s">
        <v>29</v>
      </c>
      <c r="F330" s="1"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row>
    <row r="331" spans="1:17" ht="12.5" x14ac:dyDescent="0.25">
      <c r="A331" s="1" t="s">
        <v>411</v>
      </c>
      <c r="B331" s="1" t="s">
        <v>54</v>
      </c>
      <c r="C331" s="1" t="s">
        <v>25</v>
      </c>
      <c r="D331" s="1" t="s">
        <v>28</v>
      </c>
      <c r="E331" s="1" t="s">
        <v>29</v>
      </c>
      <c r="F331" s="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row>
    <row r="332" spans="1:17" ht="12.5" x14ac:dyDescent="0.25">
      <c r="A332" s="1" t="s">
        <v>412</v>
      </c>
      <c r="B332" s="1" t="s">
        <v>54</v>
      </c>
      <c r="C332" s="1" t="s">
        <v>25</v>
      </c>
      <c r="D332" s="1" t="s">
        <v>28</v>
      </c>
      <c r="E332" s="1" t="s">
        <v>29</v>
      </c>
      <c r="F332" s="1"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row>
    <row r="333" spans="1:17" ht="12.5" x14ac:dyDescent="0.25">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ht="12.5" x14ac:dyDescent="0.25">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ht="12.5" x14ac:dyDescent="0.25">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ht="12.5" x14ac:dyDescent="0.25">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ht="12.5" x14ac:dyDescent="0.25">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ht="12.5" x14ac:dyDescent="0.25">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ht="12.5" x14ac:dyDescent="0.25">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ht="12.5" x14ac:dyDescent="0.25">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ht="12.5" x14ac:dyDescent="0.25">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ht="12.5" x14ac:dyDescent="0.25">
      <c r="A342" s="1" t="s">
        <v>422</v>
      </c>
      <c r="B342" s="1" t="s">
        <v>18</v>
      </c>
      <c r="C342" s="1" t="s">
        <v>19</v>
      </c>
      <c r="D342" s="1" t="s">
        <v>28</v>
      </c>
      <c r="E342" s="1" t="s">
        <v>21</v>
      </c>
      <c r="F342" s="1"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row>
    <row r="343" spans="1:17" ht="12.5" x14ac:dyDescent="0.25">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ht="12.5" x14ac:dyDescent="0.25">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ht="12.5" x14ac:dyDescent="0.25">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ht="12.5" x14ac:dyDescent="0.25">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ht="12.5" x14ac:dyDescent="0.25">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ht="12.5" x14ac:dyDescent="0.25">
      <c r="A348" s="1" t="s">
        <v>430</v>
      </c>
      <c r="B348" s="1" t="s">
        <v>18</v>
      </c>
      <c r="C348" s="1" t="s">
        <v>19</v>
      </c>
      <c r="D348" s="1" t="s">
        <v>28</v>
      </c>
      <c r="E348" s="1" t="s">
        <v>21</v>
      </c>
      <c r="F348" s="1"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row>
    <row r="349" spans="1:17" ht="12.5" x14ac:dyDescent="0.25">
      <c r="A349" s="1" t="s">
        <v>431</v>
      </c>
      <c r="B349" s="1" t="s">
        <v>18</v>
      </c>
      <c r="C349" s="1" t="s">
        <v>19</v>
      </c>
      <c r="D349" s="1" t="s">
        <v>28</v>
      </c>
      <c r="E349" s="1" t="s">
        <v>21</v>
      </c>
      <c r="F349" s="1"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row>
    <row r="350" spans="1:17" ht="12.5" x14ac:dyDescent="0.25">
      <c r="A350" s="1" t="s">
        <v>432</v>
      </c>
      <c r="B350" s="1" t="s">
        <v>18</v>
      </c>
      <c r="C350" s="1" t="s">
        <v>19</v>
      </c>
      <c r="D350" s="1" t="s">
        <v>28</v>
      </c>
      <c r="E350" s="1" t="s">
        <v>21</v>
      </c>
      <c r="F350" s="1"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row>
    <row r="351" spans="1:17" ht="12.5" x14ac:dyDescent="0.25">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ht="12.5" x14ac:dyDescent="0.25">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ht="12.5" x14ac:dyDescent="0.25">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ht="12.5" x14ac:dyDescent="0.25">
      <c r="A354" s="1" t="s">
        <v>436</v>
      </c>
      <c r="B354" s="1" t="s">
        <v>54</v>
      </c>
      <c r="C354" s="1" t="s">
        <v>25</v>
      </c>
      <c r="D354" s="1" t="s">
        <v>28</v>
      </c>
      <c r="E354" s="1" t="s">
        <v>21</v>
      </c>
      <c r="F354" s="1" t="s">
        <v>84</v>
      </c>
      <c r="G354" s="1">
        <v>27.5</v>
      </c>
      <c r="H354" s="1">
        <v>3</v>
      </c>
      <c r="I354" s="1">
        <v>4.125</v>
      </c>
      <c r="J354" s="1">
        <v>86.625</v>
      </c>
      <c r="K354" s="4">
        <v>43468</v>
      </c>
      <c r="L354" s="3">
        <v>0.65277777777777779</v>
      </c>
      <c r="M354" s="1" t="s">
        <v>23</v>
      </c>
      <c r="N354" s="1">
        <v>82.5</v>
      </c>
      <c r="O354" s="1">
        <v>4.7619047620000003</v>
      </c>
      <c r="P354" s="1">
        <v>4.125</v>
      </c>
      <c r="Q354" s="1">
        <v>6.5</v>
      </c>
    </row>
    <row r="355" spans="1:17" ht="12.5" x14ac:dyDescent="0.25">
      <c r="A355" s="1" t="s">
        <v>437</v>
      </c>
      <c r="B355" s="1" t="s">
        <v>54</v>
      </c>
      <c r="C355" s="1" t="s">
        <v>25</v>
      </c>
      <c r="D355" s="1" t="s">
        <v>28</v>
      </c>
      <c r="E355" s="1" t="s">
        <v>21</v>
      </c>
      <c r="F355" s="1" t="s">
        <v>84</v>
      </c>
      <c r="G355" s="1">
        <v>27.5</v>
      </c>
      <c r="H355" s="1">
        <v>3</v>
      </c>
      <c r="I355" s="1">
        <v>4.125</v>
      </c>
      <c r="J355" s="1">
        <v>86.625</v>
      </c>
      <c r="K355" s="4">
        <v>43468</v>
      </c>
      <c r="L355" s="3">
        <v>0.65277777777777779</v>
      </c>
      <c r="M355" s="1" t="s">
        <v>40</v>
      </c>
      <c r="N355" s="1">
        <v>82.5</v>
      </c>
      <c r="O355" s="1">
        <v>4.7619047620000003</v>
      </c>
      <c r="P355" s="1">
        <v>4.125</v>
      </c>
      <c r="Q355" s="1">
        <v>6.5</v>
      </c>
    </row>
    <row r="356" spans="1:17" ht="12.5" x14ac:dyDescent="0.25">
      <c r="A356" s="1" t="s">
        <v>438</v>
      </c>
      <c r="B356" s="1" t="s">
        <v>18</v>
      </c>
      <c r="C356" s="1" t="s">
        <v>25</v>
      </c>
      <c r="D356" s="1" t="s">
        <v>28</v>
      </c>
      <c r="E356" s="1" t="s">
        <v>21</v>
      </c>
      <c r="F356" s="1" t="s">
        <v>84</v>
      </c>
      <c r="G356" s="1">
        <v>27.5</v>
      </c>
      <c r="H356" s="1">
        <v>3</v>
      </c>
      <c r="I356" s="1">
        <v>4.125</v>
      </c>
      <c r="J356" s="1">
        <v>86.625</v>
      </c>
      <c r="K356" s="4">
        <v>43468</v>
      </c>
      <c r="L356" s="3">
        <v>0.65277777777777779</v>
      </c>
      <c r="M356" s="1" t="s">
        <v>23</v>
      </c>
      <c r="N356" s="1">
        <v>82.5</v>
      </c>
      <c r="O356" s="1">
        <v>4.7619047620000003</v>
      </c>
      <c r="P356" s="1">
        <v>4.125</v>
      </c>
      <c r="Q356" s="1">
        <v>6.5</v>
      </c>
    </row>
    <row r="357" spans="1:17" ht="12.5" x14ac:dyDescent="0.25">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ht="12.5" x14ac:dyDescent="0.25">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ht="12.5" x14ac:dyDescent="0.25">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ht="12.5" x14ac:dyDescent="0.25">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ht="12.5" x14ac:dyDescent="0.25">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ht="12.5" x14ac:dyDescent="0.25">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ht="12.5" x14ac:dyDescent="0.25">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ht="12.5" x14ac:dyDescent="0.25">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ht="12.5" x14ac:dyDescent="0.25">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ht="12.5" x14ac:dyDescent="0.25">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ht="12.5" x14ac:dyDescent="0.25">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ht="12.5" x14ac:dyDescent="0.25">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ht="12.5" x14ac:dyDescent="0.25">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ht="12.5" x14ac:dyDescent="0.25">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ht="12.5" x14ac:dyDescent="0.25">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ht="12.5" x14ac:dyDescent="0.25">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ht="12.5" x14ac:dyDescent="0.25">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ht="12.5" x14ac:dyDescent="0.25">
      <c r="A374" s="1" t="s">
        <v>456</v>
      </c>
      <c r="B374" s="1" t="s">
        <v>33</v>
      </c>
      <c r="C374" s="1" t="s">
        <v>27</v>
      </c>
      <c r="D374" s="1" t="s">
        <v>28</v>
      </c>
      <c r="E374" s="1" t="s">
        <v>21</v>
      </c>
      <c r="F374" s="1" t="s">
        <v>22</v>
      </c>
      <c r="G374" s="1">
        <v>12.34</v>
      </c>
      <c r="H374" s="1">
        <v>7</v>
      </c>
      <c r="I374" s="1">
        <v>4.319</v>
      </c>
      <c r="J374" s="1">
        <v>90.698999999999998</v>
      </c>
      <c r="K374" s="4">
        <v>43558</v>
      </c>
      <c r="L374" s="3">
        <v>0.47152777777777777</v>
      </c>
      <c r="M374" s="1" t="s">
        <v>48</v>
      </c>
      <c r="N374" s="1">
        <v>86.38</v>
      </c>
      <c r="O374" s="1">
        <v>4.7619047620000003</v>
      </c>
      <c r="P374" s="1">
        <v>4.319</v>
      </c>
      <c r="Q374" s="1">
        <v>6.7</v>
      </c>
    </row>
    <row r="375" spans="1:17" ht="12.5" x14ac:dyDescent="0.25">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ht="12.5" x14ac:dyDescent="0.25">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ht="12.5" x14ac:dyDescent="0.25">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ht="12.5" x14ac:dyDescent="0.25">
      <c r="A378" s="1" t="s">
        <v>460</v>
      </c>
      <c r="B378" s="1" t="s">
        <v>18</v>
      </c>
      <c r="C378" s="1" t="s">
        <v>19</v>
      </c>
      <c r="D378" s="1" t="s">
        <v>28</v>
      </c>
      <c r="E378" s="1" t="s">
        <v>21</v>
      </c>
      <c r="F378" s="1" t="s">
        <v>39</v>
      </c>
      <c r="G378" s="1">
        <v>43.27</v>
      </c>
      <c r="H378" s="1">
        <v>2</v>
      </c>
      <c r="I378" s="1">
        <v>4.327</v>
      </c>
      <c r="J378" s="1">
        <v>90.867000000000004</v>
      </c>
      <c r="K378" s="4">
        <v>43680</v>
      </c>
      <c r="L378" s="3">
        <v>0.70347222222222228</v>
      </c>
      <c r="M378" s="1" t="s">
        <v>40</v>
      </c>
      <c r="N378" s="1">
        <v>86.54</v>
      </c>
      <c r="O378" s="1">
        <v>4.7619047620000003</v>
      </c>
      <c r="P378" s="1">
        <v>4.327</v>
      </c>
      <c r="Q378" s="1">
        <v>5.7</v>
      </c>
    </row>
    <row r="379" spans="1:17" ht="12.5" x14ac:dyDescent="0.25">
      <c r="A379" s="1" t="s">
        <v>461</v>
      </c>
      <c r="B379" s="1" t="s">
        <v>18</v>
      </c>
      <c r="C379" s="1" t="s">
        <v>19</v>
      </c>
      <c r="D379" s="1" t="s">
        <v>28</v>
      </c>
      <c r="E379" s="1" t="s">
        <v>21</v>
      </c>
      <c r="F379" s="1" t="s">
        <v>39</v>
      </c>
      <c r="G379" s="1">
        <v>43.27</v>
      </c>
      <c r="H379" s="1">
        <v>2</v>
      </c>
      <c r="I379" s="1">
        <v>4.327</v>
      </c>
      <c r="J379" s="1">
        <v>90.867000000000004</v>
      </c>
      <c r="K379" s="4">
        <v>43680</v>
      </c>
      <c r="L379" s="3">
        <v>0.70347222222222228</v>
      </c>
      <c r="M379" s="1" t="s">
        <v>40</v>
      </c>
      <c r="N379" s="1">
        <v>86.54</v>
      </c>
      <c r="O379" s="1">
        <v>4.7619047620000003</v>
      </c>
      <c r="P379" s="1">
        <v>4.327</v>
      </c>
      <c r="Q379" s="1">
        <v>5.7</v>
      </c>
    </row>
    <row r="380" spans="1:17" ht="12.5" x14ac:dyDescent="0.25">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ht="12.5" x14ac:dyDescent="0.25">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ht="12.5" x14ac:dyDescent="0.25">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ht="12.5" x14ac:dyDescent="0.25">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ht="12.5" x14ac:dyDescent="0.25">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ht="12.5" x14ac:dyDescent="0.25">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ht="12.5" x14ac:dyDescent="0.25">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ht="12.5" x14ac:dyDescent="0.25">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ht="12.5" x14ac:dyDescent="0.25">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ht="12.5" x14ac:dyDescent="0.25">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ht="12.5" x14ac:dyDescent="0.25">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ht="12.5" x14ac:dyDescent="0.25">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ht="12.5" x14ac:dyDescent="0.25">
      <c r="A392" s="1" t="s">
        <v>475</v>
      </c>
      <c r="B392" s="1" t="s">
        <v>33</v>
      </c>
      <c r="C392" s="1" t="s">
        <v>25</v>
      </c>
      <c r="D392" s="1" t="s">
        <v>20</v>
      </c>
      <c r="E392" s="1" t="s">
        <v>21</v>
      </c>
      <c r="F392" s="1"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row>
    <row r="393" spans="1:17" ht="12.5" x14ac:dyDescent="0.25">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ht="12.5" x14ac:dyDescent="0.25">
      <c r="A394" s="1" t="s">
        <v>477</v>
      </c>
      <c r="B394" s="1" t="s">
        <v>33</v>
      </c>
      <c r="C394" s="1" t="s">
        <v>25</v>
      </c>
      <c r="D394" s="1" t="s">
        <v>20</v>
      </c>
      <c r="E394" s="1" t="s">
        <v>21</v>
      </c>
      <c r="F394" s="1"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row>
    <row r="395" spans="1:17" ht="12.5" x14ac:dyDescent="0.25">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ht="12.5" x14ac:dyDescent="0.25">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ht="12.5" x14ac:dyDescent="0.25">
      <c r="A397" s="1" t="s">
        <v>480</v>
      </c>
      <c r="B397" s="1" t="s">
        <v>54</v>
      </c>
      <c r="C397" s="1" t="s">
        <v>25</v>
      </c>
      <c r="D397" s="1" t="s">
        <v>20</v>
      </c>
      <c r="E397" s="1" t="s">
        <v>29</v>
      </c>
      <c r="F397" s="1"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row>
    <row r="398" spans="1:17" ht="12.5" x14ac:dyDescent="0.25">
      <c r="A398" s="1" t="s">
        <v>481</v>
      </c>
      <c r="B398" s="1" t="s">
        <v>18</v>
      </c>
      <c r="C398" s="1" t="s">
        <v>25</v>
      </c>
      <c r="D398" s="1" t="s">
        <v>20</v>
      </c>
      <c r="E398" s="1" t="s">
        <v>29</v>
      </c>
      <c r="F398" s="1"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row>
    <row r="399" spans="1:17" ht="12.5" x14ac:dyDescent="0.25">
      <c r="A399" s="1" t="s">
        <v>482</v>
      </c>
      <c r="B399" s="1" t="s">
        <v>33</v>
      </c>
      <c r="C399" s="1" t="s">
        <v>25</v>
      </c>
      <c r="D399" s="1" t="s">
        <v>20</v>
      </c>
      <c r="E399" s="1" t="s">
        <v>29</v>
      </c>
      <c r="F399" s="1"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row>
    <row r="400" spans="1:17" ht="12.5" x14ac:dyDescent="0.25">
      <c r="A400" s="1" t="s">
        <v>483</v>
      </c>
      <c r="B400" s="1" t="s">
        <v>18</v>
      </c>
      <c r="C400" s="1" t="s">
        <v>25</v>
      </c>
      <c r="D400" s="1" t="s">
        <v>20</v>
      </c>
      <c r="E400" s="1" t="s">
        <v>29</v>
      </c>
      <c r="F400" s="1"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row>
    <row r="401" spans="1:17" ht="12.5" x14ac:dyDescent="0.25">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ht="12.5" x14ac:dyDescent="0.25">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ht="12.5" x14ac:dyDescent="0.25">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ht="12.5" x14ac:dyDescent="0.25">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ht="12.5" x14ac:dyDescent="0.25">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ht="12.5" x14ac:dyDescent="0.25">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ht="12.5" x14ac:dyDescent="0.25">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ht="12.5" x14ac:dyDescent="0.25">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ht="12.5" x14ac:dyDescent="0.25">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ht="12.5" x14ac:dyDescent="0.25">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ht="12.5" x14ac:dyDescent="0.25">
      <c r="A411" s="1" t="s">
        <v>494</v>
      </c>
      <c r="B411" s="1" t="s">
        <v>33</v>
      </c>
      <c r="C411" s="1" t="s">
        <v>25</v>
      </c>
      <c r="D411" s="1" t="s">
        <v>20</v>
      </c>
      <c r="E411" s="1" t="s">
        <v>29</v>
      </c>
      <c r="F411" s="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row>
    <row r="412" spans="1:17" ht="12.5" x14ac:dyDescent="0.25">
      <c r="A412" s="1" t="s">
        <v>495</v>
      </c>
      <c r="B412" s="1" t="s">
        <v>33</v>
      </c>
      <c r="C412" s="1" t="s">
        <v>27</v>
      </c>
      <c r="D412" s="1" t="s">
        <v>28</v>
      </c>
      <c r="E412" s="1" t="s">
        <v>21</v>
      </c>
      <c r="F412" s="1"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row>
    <row r="413" spans="1:17" ht="12.5" x14ac:dyDescent="0.25">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ht="12.5" x14ac:dyDescent="0.25">
      <c r="A414" s="1" t="s">
        <v>497</v>
      </c>
      <c r="B414" s="1" t="s">
        <v>33</v>
      </c>
      <c r="C414" s="1" t="s">
        <v>19</v>
      </c>
      <c r="D414" s="1" t="s">
        <v>28</v>
      </c>
      <c r="E414" s="1" t="s">
        <v>21</v>
      </c>
      <c r="F414" s="1"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row>
    <row r="415" spans="1:17" ht="12.5" x14ac:dyDescent="0.25">
      <c r="A415" s="1" t="s">
        <v>498</v>
      </c>
      <c r="B415" s="1" t="s">
        <v>33</v>
      </c>
      <c r="C415" s="1" t="s">
        <v>27</v>
      </c>
      <c r="D415" s="1" t="s">
        <v>28</v>
      </c>
      <c r="E415" s="1" t="s">
        <v>21</v>
      </c>
      <c r="F415" s="1"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row>
    <row r="416" spans="1:17" ht="12.5" x14ac:dyDescent="0.25">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ht="12.5" x14ac:dyDescent="0.25">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ht="12.5" x14ac:dyDescent="0.25">
      <c r="A418" s="1" t="s">
        <v>501</v>
      </c>
      <c r="B418" s="1" t="s">
        <v>18</v>
      </c>
      <c r="C418" s="1" t="s">
        <v>19</v>
      </c>
      <c r="D418" s="1" t="s">
        <v>28</v>
      </c>
      <c r="E418" s="1" t="s">
        <v>21</v>
      </c>
      <c r="F418" s="1"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row>
    <row r="419" spans="1:17" ht="12.5" x14ac:dyDescent="0.25">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ht="12.5" x14ac:dyDescent="0.25">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ht="12.5" x14ac:dyDescent="0.25">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ht="12.5" x14ac:dyDescent="0.25">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ht="12.5" x14ac:dyDescent="0.25">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ht="12.5" x14ac:dyDescent="0.25">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ht="12.5" x14ac:dyDescent="0.25">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ht="12.5" x14ac:dyDescent="0.25">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ht="12.5" x14ac:dyDescent="0.25">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ht="12.5" x14ac:dyDescent="0.25">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ht="12.5" x14ac:dyDescent="0.25">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ht="12.5" x14ac:dyDescent="0.25">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ht="12.5" x14ac:dyDescent="0.25">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ht="12.5" x14ac:dyDescent="0.25">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ht="12.5" x14ac:dyDescent="0.25">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ht="12.5" x14ac:dyDescent="0.25">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ht="12.5" x14ac:dyDescent="0.25">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ht="12.5" x14ac:dyDescent="0.25">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ht="12.5" x14ac:dyDescent="0.25">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ht="12.5" x14ac:dyDescent="0.25">
      <c r="A438" s="1" t="s">
        <v>522</v>
      </c>
      <c r="B438" s="1" t="s">
        <v>54</v>
      </c>
      <c r="C438" s="1" t="s">
        <v>25</v>
      </c>
      <c r="D438" s="1" t="s">
        <v>20</v>
      </c>
      <c r="E438" s="1" t="s">
        <v>21</v>
      </c>
      <c r="F438" s="1"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row>
    <row r="439" spans="1:17" ht="12.5" x14ac:dyDescent="0.25">
      <c r="A439" s="1" t="s">
        <v>523</v>
      </c>
      <c r="B439" s="1" t="s">
        <v>18</v>
      </c>
      <c r="C439" s="1" t="s">
        <v>25</v>
      </c>
      <c r="D439" s="1" t="s">
        <v>20</v>
      </c>
      <c r="E439" s="1" t="s">
        <v>21</v>
      </c>
      <c r="F439" s="1"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row>
    <row r="440" spans="1:17" ht="12.5" x14ac:dyDescent="0.25">
      <c r="A440" s="1" t="s">
        <v>524</v>
      </c>
      <c r="B440" s="1" t="s">
        <v>54</v>
      </c>
      <c r="C440" s="1" t="s">
        <v>25</v>
      </c>
      <c r="D440" s="1" t="s">
        <v>28</v>
      </c>
      <c r="E440" s="1" t="s">
        <v>21</v>
      </c>
      <c r="F440" s="1"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row>
    <row r="441" spans="1:17" ht="12.5" x14ac:dyDescent="0.25">
      <c r="A441" s="1" t="s">
        <v>525</v>
      </c>
      <c r="B441" s="1" t="s">
        <v>54</v>
      </c>
      <c r="C441" s="1" t="s">
        <v>25</v>
      </c>
      <c r="D441" s="1" t="s">
        <v>28</v>
      </c>
      <c r="E441" s="1" t="s">
        <v>21</v>
      </c>
      <c r="F441" s="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row>
    <row r="442" spans="1:17" ht="12.5" x14ac:dyDescent="0.25">
      <c r="A442" s="1" t="s">
        <v>526</v>
      </c>
      <c r="B442" s="1" t="s">
        <v>18</v>
      </c>
      <c r="C442" s="1" t="s">
        <v>25</v>
      </c>
      <c r="D442" s="1" t="s">
        <v>28</v>
      </c>
      <c r="E442" s="1" t="s">
        <v>21</v>
      </c>
      <c r="F442" s="1"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row>
    <row r="443" spans="1:17" ht="12.5" x14ac:dyDescent="0.25">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ht="12.5" x14ac:dyDescent="0.25">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ht="12.5" x14ac:dyDescent="0.25">
      <c r="A445" s="1" t="s">
        <v>529</v>
      </c>
      <c r="B445" s="1" t="s">
        <v>54</v>
      </c>
      <c r="C445" s="1" t="s">
        <v>25</v>
      </c>
      <c r="D445" s="1" t="s">
        <v>20</v>
      </c>
      <c r="E445" s="1" t="s">
        <v>29</v>
      </c>
      <c r="F445" s="1" t="s">
        <v>22</v>
      </c>
      <c r="G445" s="1">
        <v>11.85</v>
      </c>
      <c r="H445" s="1">
        <v>8</v>
      </c>
      <c r="I445" s="1">
        <v>4.74</v>
      </c>
      <c r="J445" s="1">
        <v>99.54</v>
      </c>
      <c r="K445" s="4">
        <v>43709</v>
      </c>
      <c r="L445" s="3">
        <v>0.69027777777777777</v>
      </c>
      <c r="M445" s="1" t="s">
        <v>23</v>
      </c>
      <c r="N445" s="1">
        <v>94.8</v>
      </c>
      <c r="O445" s="1">
        <v>4.7619047620000003</v>
      </c>
      <c r="P445" s="1">
        <v>4.74</v>
      </c>
      <c r="Q445" s="1">
        <v>4.0999999999999996</v>
      </c>
    </row>
    <row r="446" spans="1:17" ht="12.5" x14ac:dyDescent="0.25">
      <c r="A446" s="1" t="s">
        <v>530</v>
      </c>
      <c r="B446" s="1" t="s">
        <v>54</v>
      </c>
      <c r="C446" s="1" t="s">
        <v>25</v>
      </c>
      <c r="D446" s="1" t="s">
        <v>20</v>
      </c>
      <c r="E446" s="1" t="s">
        <v>21</v>
      </c>
      <c r="F446" s="1" t="s">
        <v>22</v>
      </c>
      <c r="G446" s="1">
        <v>11.85</v>
      </c>
      <c r="H446" s="1">
        <v>8</v>
      </c>
      <c r="I446" s="1">
        <v>4.74</v>
      </c>
      <c r="J446" s="1">
        <v>99.54</v>
      </c>
      <c r="K446" s="4">
        <v>43709</v>
      </c>
      <c r="L446" s="3">
        <v>0.69027777777777777</v>
      </c>
      <c r="M446" s="1" t="s">
        <v>23</v>
      </c>
      <c r="N446" s="1">
        <v>94.8</v>
      </c>
      <c r="O446" s="1">
        <v>4.7619047620000003</v>
      </c>
      <c r="P446" s="1">
        <v>4.74</v>
      </c>
      <c r="Q446" s="1">
        <v>4.0999999999999996</v>
      </c>
    </row>
    <row r="447" spans="1:17" ht="12.5" x14ac:dyDescent="0.25">
      <c r="A447" s="1" t="s">
        <v>531</v>
      </c>
      <c r="B447" s="1" t="s">
        <v>54</v>
      </c>
      <c r="C447" s="1" t="s">
        <v>25</v>
      </c>
      <c r="D447" s="1" t="s">
        <v>20</v>
      </c>
      <c r="E447" s="1" t="s">
        <v>29</v>
      </c>
      <c r="F447" s="1" t="s">
        <v>39</v>
      </c>
      <c r="G447" s="1">
        <v>11.85</v>
      </c>
      <c r="H447" s="1">
        <v>8</v>
      </c>
      <c r="I447" s="1">
        <v>4.74</v>
      </c>
      <c r="J447" s="1">
        <v>99.54</v>
      </c>
      <c r="K447" s="4">
        <v>43709</v>
      </c>
      <c r="L447" s="3">
        <v>0.69027777777777777</v>
      </c>
      <c r="M447" s="1" t="s">
        <v>23</v>
      </c>
      <c r="N447" s="1">
        <v>94.8</v>
      </c>
      <c r="O447" s="1">
        <v>4.7619047620000003</v>
      </c>
      <c r="P447" s="1">
        <v>4.74</v>
      </c>
      <c r="Q447" s="1">
        <v>4.0999999999999996</v>
      </c>
    </row>
    <row r="448" spans="1:17" ht="12.5" x14ac:dyDescent="0.25">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ht="12.5" x14ac:dyDescent="0.25">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ht="12.5" x14ac:dyDescent="0.25">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ht="12.5" x14ac:dyDescent="0.25">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ht="12.5" x14ac:dyDescent="0.25">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ht="12.5" x14ac:dyDescent="0.25">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ht="12.5" x14ac:dyDescent="0.25">
      <c r="A454" s="1" t="s">
        <v>538</v>
      </c>
      <c r="B454" s="1" t="s">
        <v>18</v>
      </c>
      <c r="C454" s="1" t="s">
        <v>19</v>
      </c>
      <c r="D454" s="1" t="s">
        <v>20</v>
      </c>
      <c r="E454" s="1" t="s">
        <v>29</v>
      </c>
      <c r="F454" s="1"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row>
    <row r="455" spans="1:17" ht="12.5" x14ac:dyDescent="0.25">
      <c r="A455" s="1" t="s">
        <v>539</v>
      </c>
      <c r="B455" s="1" t="s">
        <v>18</v>
      </c>
      <c r="C455" s="1" t="s">
        <v>19</v>
      </c>
      <c r="D455" s="1" t="s">
        <v>20</v>
      </c>
      <c r="E455" s="1" t="s">
        <v>29</v>
      </c>
      <c r="F455" s="1" t="s">
        <v>44</v>
      </c>
      <c r="G455" s="1">
        <v>15.95</v>
      </c>
      <c r="H455" s="1">
        <v>6</v>
      </c>
      <c r="I455" s="1">
        <v>4.7850000000000001</v>
      </c>
      <c r="J455" s="1">
        <v>100.485</v>
      </c>
      <c r="K455" s="4">
        <v>43710</v>
      </c>
      <c r="L455" s="3">
        <v>0.71875</v>
      </c>
      <c r="M455" s="1" t="s">
        <v>23</v>
      </c>
      <c r="N455" s="1">
        <v>95.7</v>
      </c>
      <c r="O455" s="1">
        <v>4.7619047620000003</v>
      </c>
      <c r="P455" s="1">
        <v>4.7850000000000001</v>
      </c>
      <c r="Q455" s="1">
        <v>4.5</v>
      </c>
    </row>
    <row r="456" spans="1:17" ht="12.5" x14ac:dyDescent="0.25">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ht="12.5" x14ac:dyDescent="0.25">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ht="12.5" x14ac:dyDescent="0.25">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ht="12.5" x14ac:dyDescent="0.25">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ht="12.5" x14ac:dyDescent="0.25">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ht="12.5" x14ac:dyDescent="0.25">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ht="12.5" x14ac:dyDescent="0.25">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ht="12.5" x14ac:dyDescent="0.25">
      <c r="A463" s="1" t="s">
        <v>547</v>
      </c>
      <c r="B463" s="1" t="s">
        <v>33</v>
      </c>
      <c r="C463" s="1" t="s">
        <v>27</v>
      </c>
      <c r="D463" s="1" t="s">
        <v>28</v>
      </c>
      <c r="E463" s="1" t="s">
        <v>21</v>
      </c>
      <c r="F463" s="1"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row>
    <row r="464" spans="1:17" ht="12.5" x14ac:dyDescent="0.25">
      <c r="A464" s="1" t="s">
        <v>548</v>
      </c>
      <c r="B464" s="1" t="s">
        <v>33</v>
      </c>
      <c r="C464" s="1" t="s">
        <v>27</v>
      </c>
      <c r="D464" s="1" t="s">
        <v>28</v>
      </c>
      <c r="E464" s="1" t="s">
        <v>21</v>
      </c>
      <c r="F464" s="1"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row>
    <row r="465" spans="1:17" ht="12.5" x14ac:dyDescent="0.25">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ht="12.5" x14ac:dyDescent="0.25">
      <c r="A466" s="1" t="s">
        <v>550</v>
      </c>
      <c r="B466" s="1" t="s">
        <v>18</v>
      </c>
      <c r="C466" s="1" t="s">
        <v>27</v>
      </c>
      <c r="D466" s="1" t="s">
        <v>28</v>
      </c>
      <c r="E466" s="1" t="s">
        <v>21</v>
      </c>
      <c r="F466" s="1"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row>
    <row r="467" spans="1:17" ht="12.5" x14ac:dyDescent="0.25">
      <c r="A467" s="1" t="s">
        <v>551</v>
      </c>
      <c r="B467" s="1" t="s">
        <v>18</v>
      </c>
      <c r="C467" s="1" t="s">
        <v>19</v>
      </c>
      <c r="D467" s="1" t="s">
        <v>28</v>
      </c>
      <c r="E467" s="1" t="s">
        <v>21</v>
      </c>
      <c r="F467" s="1"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row>
    <row r="468" spans="1:17" ht="12.5" x14ac:dyDescent="0.25">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ht="12.5" x14ac:dyDescent="0.25">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ht="12.5" x14ac:dyDescent="0.25">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ht="12.5" x14ac:dyDescent="0.25">
      <c r="A471" s="1" t="s">
        <v>555</v>
      </c>
      <c r="B471" s="1" t="s">
        <v>18</v>
      </c>
      <c r="C471" s="1" t="s">
        <v>25</v>
      </c>
      <c r="D471" s="1" t="s">
        <v>20</v>
      </c>
      <c r="E471" s="1" t="s">
        <v>29</v>
      </c>
      <c r="F471" s="1" t="s">
        <v>44</v>
      </c>
      <c r="G471" s="1">
        <v>49.1</v>
      </c>
      <c r="H471" s="1">
        <v>2</v>
      </c>
      <c r="I471" s="1">
        <v>4.91</v>
      </c>
      <c r="J471" s="1">
        <v>103.11</v>
      </c>
      <c r="K471" s="4">
        <v>43678</v>
      </c>
      <c r="L471" s="3">
        <v>0.54027777777777775</v>
      </c>
      <c r="M471" s="1" t="s">
        <v>48</v>
      </c>
      <c r="N471" s="1">
        <v>98.2</v>
      </c>
      <c r="O471" s="1">
        <v>4.7619047620000003</v>
      </c>
      <c r="P471" s="1">
        <v>4.91</v>
      </c>
      <c r="Q471" s="1">
        <v>6.4</v>
      </c>
    </row>
    <row r="472" spans="1:17" ht="12.5" x14ac:dyDescent="0.25">
      <c r="A472" s="1" t="s">
        <v>556</v>
      </c>
      <c r="B472" s="1" t="s">
        <v>54</v>
      </c>
      <c r="C472" s="1" t="s">
        <v>25</v>
      </c>
      <c r="D472" s="1" t="s">
        <v>28</v>
      </c>
      <c r="E472" s="1" t="s">
        <v>29</v>
      </c>
      <c r="F472" s="1"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row>
    <row r="473" spans="1:17" ht="12.5" x14ac:dyDescent="0.25">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ht="12.5" x14ac:dyDescent="0.25">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ht="12.5" x14ac:dyDescent="0.25">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ht="12.5" x14ac:dyDescent="0.25">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ht="12.5" x14ac:dyDescent="0.25">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ht="12.5" x14ac:dyDescent="0.25">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ht="12.5" x14ac:dyDescent="0.25">
      <c r="A479" s="1" t="s">
        <v>563</v>
      </c>
      <c r="B479" s="1" t="s">
        <v>18</v>
      </c>
      <c r="C479" s="1" t="s">
        <v>19</v>
      </c>
      <c r="D479" s="1" t="s">
        <v>28</v>
      </c>
      <c r="E479" s="1" t="s">
        <v>21</v>
      </c>
      <c r="F479" s="1" t="s">
        <v>39</v>
      </c>
      <c r="G479" s="1">
        <v>16.48</v>
      </c>
      <c r="H479" s="1">
        <v>6</v>
      </c>
      <c r="I479" s="1">
        <v>4.944</v>
      </c>
      <c r="J479" s="1">
        <v>103.824</v>
      </c>
      <c r="K479" s="4">
        <v>43648</v>
      </c>
      <c r="L479" s="3">
        <v>0.76597222222222228</v>
      </c>
      <c r="M479" s="1" t="s">
        <v>40</v>
      </c>
      <c r="N479" s="1">
        <v>98.88</v>
      </c>
      <c r="O479" s="1">
        <v>4.7619047620000003</v>
      </c>
      <c r="P479" s="1">
        <v>4.944</v>
      </c>
      <c r="Q479" s="1">
        <v>9.9</v>
      </c>
    </row>
    <row r="480" spans="1:17" ht="12.5" x14ac:dyDescent="0.25">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ht="12.5" x14ac:dyDescent="0.25">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ht="12.5" x14ac:dyDescent="0.25">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ht="12.5" x14ac:dyDescent="0.25">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ht="12.5" x14ac:dyDescent="0.25">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ht="12.5" x14ac:dyDescent="0.25">
      <c r="A485" s="1" t="s">
        <v>569</v>
      </c>
      <c r="B485" s="1" t="s">
        <v>54</v>
      </c>
      <c r="C485" s="1" t="s">
        <v>25</v>
      </c>
      <c r="D485" s="1" t="s">
        <v>20</v>
      </c>
      <c r="E485" s="1" t="s">
        <v>21</v>
      </c>
      <c r="F485" s="1" t="s">
        <v>39</v>
      </c>
      <c r="G485" s="1">
        <v>49.92</v>
      </c>
      <c r="H485" s="1">
        <v>2</v>
      </c>
      <c r="I485" s="1">
        <v>4.992</v>
      </c>
      <c r="J485" s="1">
        <v>104.83199999999999</v>
      </c>
      <c r="K485" s="4">
        <v>43619</v>
      </c>
      <c r="L485" s="3">
        <v>0.49652777777777779</v>
      </c>
      <c r="M485" s="1" t="s">
        <v>23</v>
      </c>
      <c r="N485" s="1">
        <v>99.84</v>
      </c>
      <c r="O485" s="1">
        <v>4.7619047620000003</v>
      </c>
      <c r="P485" s="1">
        <v>4.992</v>
      </c>
      <c r="Q485" s="1">
        <v>7</v>
      </c>
    </row>
    <row r="486" spans="1:17" ht="12.5" x14ac:dyDescent="0.25">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ht="12.5" x14ac:dyDescent="0.25">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ht="12.5" x14ac:dyDescent="0.25">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ht="12.5" x14ac:dyDescent="0.25">
      <c r="A489" s="1" t="s">
        <v>573</v>
      </c>
      <c r="B489" s="1" t="s">
        <v>54</v>
      </c>
      <c r="C489" s="1" t="s">
        <v>25</v>
      </c>
      <c r="D489" s="1" t="s">
        <v>20</v>
      </c>
      <c r="E489" s="1" t="s">
        <v>21</v>
      </c>
      <c r="F489" s="1"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row>
    <row r="490" spans="1:17" ht="12.5" x14ac:dyDescent="0.25">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ht="12.5" x14ac:dyDescent="0.25">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ht="12.5" x14ac:dyDescent="0.25">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ht="12.5" x14ac:dyDescent="0.25">
      <c r="A493" s="1" t="s">
        <v>577</v>
      </c>
      <c r="B493" s="1" t="s">
        <v>18</v>
      </c>
      <c r="C493" s="1" t="s">
        <v>27</v>
      </c>
      <c r="D493" s="1" t="s">
        <v>20</v>
      </c>
      <c r="E493" s="1" t="s">
        <v>21</v>
      </c>
      <c r="F493" s="1"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row>
    <row r="494" spans="1:17" ht="12.5" x14ac:dyDescent="0.25">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ht="12.5" x14ac:dyDescent="0.25">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ht="12.5" x14ac:dyDescent="0.25">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ht="12.5" x14ac:dyDescent="0.25">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ht="12.5" x14ac:dyDescent="0.25">
      <c r="A498" s="1" t="s">
        <v>583</v>
      </c>
      <c r="B498" s="1" t="s">
        <v>33</v>
      </c>
      <c r="C498" s="1" t="s">
        <v>27</v>
      </c>
      <c r="D498" s="1" t="s">
        <v>20</v>
      </c>
      <c r="E498" s="1" t="s">
        <v>21</v>
      </c>
      <c r="F498" s="1"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row>
    <row r="499" spans="1:17" ht="12.5" x14ac:dyDescent="0.25">
      <c r="A499" s="1" t="s">
        <v>584</v>
      </c>
      <c r="B499" s="1" t="s">
        <v>18</v>
      </c>
      <c r="C499" s="1" t="s">
        <v>27</v>
      </c>
      <c r="D499" s="1" t="s">
        <v>20</v>
      </c>
      <c r="E499" s="1" t="s">
        <v>29</v>
      </c>
      <c r="F499" s="1"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row>
    <row r="500" spans="1:17" ht="12.5" x14ac:dyDescent="0.25">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ht="12.5" x14ac:dyDescent="0.25">
      <c r="A501" s="1" t="s">
        <v>586</v>
      </c>
      <c r="B501" s="1" t="s">
        <v>33</v>
      </c>
      <c r="C501" s="1" t="s">
        <v>27</v>
      </c>
      <c r="D501" s="1" t="s">
        <v>28</v>
      </c>
      <c r="E501" s="1" t="s">
        <v>21</v>
      </c>
      <c r="F501" s="1" t="s">
        <v>39</v>
      </c>
      <c r="G501" s="1">
        <v>10.96</v>
      </c>
      <c r="H501" s="1">
        <v>10</v>
      </c>
      <c r="I501" s="1">
        <v>5.48</v>
      </c>
      <c r="J501" s="1">
        <v>115.08</v>
      </c>
      <c r="K501" s="4">
        <v>43498</v>
      </c>
      <c r="L501" s="3">
        <v>0.8666666666666667</v>
      </c>
      <c r="M501" s="1" t="s">
        <v>40</v>
      </c>
      <c r="N501" s="1">
        <v>109.6</v>
      </c>
      <c r="O501" s="1">
        <v>4.7619047620000003</v>
      </c>
      <c r="P501" s="1">
        <v>5.48</v>
      </c>
      <c r="Q501" s="1">
        <v>6</v>
      </c>
    </row>
    <row r="502" spans="1:17" ht="12.5" x14ac:dyDescent="0.25">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ht="12.5" x14ac:dyDescent="0.25">
      <c r="A503" s="1" t="s">
        <v>588</v>
      </c>
      <c r="B503" s="1" t="s">
        <v>33</v>
      </c>
      <c r="C503" s="1" t="s">
        <v>19</v>
      </c>
      <c r="D503" s="1" t="s">
        <v>28</v>
      </c>
      <c r="E503" s="1" t="s">
        <v>21</v>
      </c>
      <c r="F503" s="1" t="s">
        <v>39</v>
      </c>
      <c r="G503" s="1">
        <v>10.96</v>
      </c>
      <c r="H503" s="1">
        <v>10</v>
      </c>
      <c r="I503" s="1">
        <v>5.48</v>
      </c>
      <c r="J503" s="1">
        <v>115.08</v>
      </c>
      <c r="K503" s="4">
        <v>43498</v>
      </c>
      <c r="L503" s="3">
        <v>0.8666666666666667</v>
      </c>
      <c r="M503" s="1" t="s">
        <v>40</v>
      </c>
      <c r="N503" s="1">
        <v>109.6</v>
      </c>
      <c r="O503" s="1">
        <v>4.7619047620000003</v>
      </c>
      <c r="P503" s="1">
        <v>5.48</v>
      </c>
      <c r="Q503" s="1">
        <v>5</v>
      </c>
    </row>
    <row r="504" spans="1:17" ht="12.5" x14ac:dyDescent="0.25">
      <c r="A504" s="1" t="s">
        <v>589</v>
      </c>
      <c r="B504" s="1" t="s">
        <v>54</v>
      </c>
      <c r="C504" s="1" t="s">
        <v>25</v>
      </c>
      <c r="D504" s="1" t="s">
        <v>20</v>
      </c>
      <c r="E504" s="1" t="s">
        <v>21</v>
      </c>
      <c r="F504" s="1"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row>
    <row r="505" spans="1:17" ht="12.5" x14ac:dyDescent="0.25">
      <c r="A505" s="1" t="s">
        <v>590</v>
      </c>
      <c r="B505" s="1" t="s">
        <v>33</v>
      </c>
      <c r="C505" s="1" t="s">
        <v>25</v>
      </c>
      <c r="D505" s="1" t="s">
        <v>20</v>
      </c>
      <c r="E505" s="1" t="s">
        <v>21</v>
      </c>
      <c r="F505" s="1"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row>
    <row r="506" spans="1:17" ht="12.5" x14ac:dyDescent="0.25">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ht="12.5" x14ac:dyDescent="0.25">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ht="12.5" x14ac:dyDescent="0.25">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ht="12.5" x14ac:dyDescent="0.25">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ht="12.5" x14ac:dyDescent="0.25">
      <c r="A510" s="1" t="s">
        <v>595</v>
      </c>
      <c r="B510" s="1" t="s">
        <v>18</v>
      </c>
      <c r="C510" s="1" t="s">
        <v>19</v>
      </c>
      <c r="D510" s="1" t="s">
        <v>20</v>
      </c>
      <c r="E510" s="1" t="s">
        <v>21</v>
      </c>
      <c r="F510" s="1"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row>
    <row r="511" spans="1:17" ht="12.5" x14ac:dyDescent="0.25">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ht="12.5" x14ac:dyDescent="0.25">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ht="12.5" x14ac:dyDescent="0.25">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ht="12.5" x14ac:dyDescent="0.25">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ht="12.5" x14ac:dyDescent="0.25">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ht="12.5" x14ac:dyDescent="0.25">
      <c r="A516" s="1" t="s">
        <v>601</v>
      </c>
      <c r="B516" s="1" t="s">
        <v>33</v>
      </c>
      <c r="C516" s="1" t="s">
        <v>25</v>
      </c>
      <c r="D516" s="1" t="s">
        <v>20</v>
      </c>
      <c r="E516" s="1" t="s">
        <v>29</v>
      </c>
      <c r="F516" s="1"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row>
    <row r="517" spans="1:17" ht="12.5" x14ac:dyDescent="0.25">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ht="12.5" x14ac:dyDescent="0.25">
      <c r="A518" s="1" t="s">
        <v>603</v>
      </c>
      <c r="B518" s="1" t="s">
        <v>54</v>
      </c>
      <c r="C518" s="1" t="s">
        <v>25</v>
      </c>
      <c r="D518" s="1" t="s">
        <v>20</v>
      </c>
      <c r="E518" s="1" t="s">
        <v>21</v>
      </c>
      <c r="F518" s="1" t="s">
        <v>84</v>
      </c>
      <c r="G518" s="1">
        <v>18.93</v>
      </c>
      <c r="H518" s="1">
        <v>6</v>
      </c>
      <c r="I518" s="1">
        <v>5.6790000000000003</v>
      </c>
      <c r="J518" s="1">
        <v>119.259</v>
      </c>
      <c r="K518" s="4">
        <v>43740</v>
      </c>
      <c r="L518" s="3">
        <v>0.53125</v>
      </c>
      <c r="M518" s="1" t="s">
        <v>48</v>
      </c>
      <c r="N518" s="1">
        <v>113.58</v>
      </c>
      <c r="O518" s="1">
        <v>4.7619047620000003</v>
      </c>
      <c r="P518" s="1">
        <v>5.6790000000000003</v>
      </c>
      <c r="Q518" s="1">
        <v>8.1</v>
      </c>
    </row>
    <row r="519" spans="1:17" ht="12.5" x14ac:dyDescent="0.25">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ht="12.5" x14ac:dyDescent="0.25">
      <c r="A520" s="1" t="s">
        <v>605</v>
      </c>
      <c r="B520" s="1" t="s">
        <v>54</v>
      </c>
      <c r="C520" s="1" t="s">
        <v>19</v>
      </c>
      <c r="D520" s="1" t="s">
        <v>20</v>
      </c>
      <c r="E520" s="1" t="s">
        <v>21</v>
      </c>
      <c r="F520" s="1" t="s">
        <v>84</v>
      </c>
      <c r="G520" s="1">
        <v>18.93</v>
      </c>
      <c r="H520" s="1">
        <v>6</v>
      </c>
      <c r="I520" s="1">
        <v>5.6790000000000003</v>
      </c>
      <c r="J520" s="1">
        <v>119.259</v>
      </c>
      <c r="K520" s="4">
        <v>43740</v>
      </c>
      <c r="L520" s="3">
        <v>0.53125</v>
      </c>
      <c r="M520" s="1" t="s">
        <v>48</v>
      </c>
      <c r="N520" s="1">
        <v>113.58</v>
      </c>
      <c r="O520" s="1">
        <v>4.7619047620000003</v>
      </c>
      <c r="P520" s="1">
        <v>5.6790000000000003</v>
      </c>
      <c r="Q520" s="1">
        <v>5.2</v>
      </c>
    </row>
    <row r="521" spans="1:17" ht="12.5" x14ac:dyDescent="0.25">
      <c r="A521" s="1" t="s">
        <v>606</v>
      </c>
      <c r="B521" s="1" t="s">
        <v>18</v>
      </c>
      <c r="C521" s="1" t="s">
        <v>25</v>
      </c>
      <c r="D521" s="1" t="s">
        <v>28</v>
      </c>
      <c r="E521" s="1" t="s">
        <v>29</v>
      </c>
      <c r="F521" s="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row>
    <row r="522" spans="1:17" ht="12.5" x14ac:dyDescent="0.25">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ht="12.5" x14ac:dyDescent="0.25">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ht="12.5" x14ac:dyDescent="0.25">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ht="12.5" x14ac:dyDescent="0.25">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ht="12.5" x14ac:dyDescent="0.25">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ht="12.5" x14ac:dyDescent="0.25">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ht="12.5" x14ac:dyDescent="0.25">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ht="12.5" x14ac:dyDescent="0.25">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ht="12.5" x14ac:dyDescent="0.25">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ht="12.5" x14ac:dyDescent="0.25">
      <c r="A531" s="1" t="s">
        <v>617</v>
      </c>
      <c r="B531" s="1" t="s">
        <v>33</v>
      </c>
      <c r="C531" s="1" t="s">
        <v>25</v>
      </c>
      <c r="D531" s="1" t="s">
        <v>28</v>
      </c>
      <c r="E531" s="1" t="s">
        <v>21</v>
      </c>
      <c r="F531" s="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row>
    <row r="532" spans="1:17" ht="12.5" x14ac:dyDescent="0.25">
      <c r="A532" s="1" t="s">
        <v>618</v>
      </c>
      <c r="B532" s="1" t="s">
        <v>33</v>
      </c>
      <c r="C532" s="1" t="s">
        <v>25</v>
      </c>
      <c r="D532" s="1" t="s">
        <v>28</v>
      </c>
      <c r="E532" s="1" t="s">
        <v>21</v>
      </c>
      <c r="F532" s="1"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row>
    <row r="533" spans="1:17" ht="12.5" x14ac:dyDescent="0.25">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ht="12.5" x14ac:dyDescent="0.25">
      <c r="A534" s="1" t="s">
        <v>620</v>
      </c>
      <c r="B534" s="1" t="s">
        <v>18</v>
      </c>
      <c r="C534" s="1" t="s">
        <v>19</v>
      </c>
      <c r="D534" s="1" t="s">
        <v>28</v>
      </c>
      <c r="E534" s="1" t="s">
        <v>21</v>
      </c>
      <c r="F534" s="1"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row>
    <row r="535" spans="1:17" ht="12.5" x14ac:dyDescent="0.25">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ht="12.5" x14ac:dyDescent="0.25">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ht="12.5" x14ac:dyDescent="0.25">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ht="12.5" x14ac:dyDescent="0.25">
      <c r="A538" s="1" t="s">
        <v>624</v>
      </c>
      <c r="B538" s="1" t="s">
        <v>33</v>
      </c>
      <c r="C538" s="1" t="s">
        <v>27</v>
      </c>
      <c r="D538" s="1" t="s">
        <v>28</v>
      </c>
      <c r="E538" s="1" t="s">
        <v>21</v>
      </c>
      <c r="F538" s="1"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row>
    <row r="539" spans="1:17" ht="12.5" x14ac:dyDescent="0.25">
      <c r="A539" s="1" t="s">
        <v>625</v>
      </c>
      <c r="B539" s="1" t="s">
        <v>18</v>
      </c>
      <c r="C539" s="1" t="s">
        <v>27</v>
      </c>
      <c r="D539" s="1" t="s">
        <v>28</v>
      </c>
      <c r="E539" s="1" t="s">
        <v>21</v>
      </c>
      <c r="F539" s="1"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row>
    <row r="540" spans="1:17" ht="12.5" x14ac:dyDescent="0.25">
      <c r="A540" s="1" t="s">
        <v>626</v>
      </c>
      <c r="B540" s="1" t="s">
        <v>18</v>
      </c>
      <c r="C540" s="1" t="s">
        <v>25</v>
      </c>
      <c r="D540" s="1" t="s">
        <v>28</v>
      </c>
      <c r="E540" s="1" t="s">
        <v>21</v>
      </c>
      <c r="F540" s="1"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row>
    <row r="541" spans="1:17" ht="12.5" x14ac:dyDescent="0.25">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ht="12.5" x14ac:dyDescent="0.25">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ht="12.5" x14ac:dyDescent="0.25">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ht="12.5" x14ac:dyDescent="0.25">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ht="12.5" x14ac:dyDescent="0.25">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ht="12.5" x14ac:dyDescent="0.25">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ht="12.5" x14ac:dyDescent="0.25">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ht="12.5" x14ac:dyDescent="0.25">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ht="12.5" x14ac:dyDescent="0.25">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ht="12.5" x14ac:dyDescent="0.25">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ht="12.5" x14ac:dyDescent="0.25">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ht="12.5" x14ac:dyDescent="0.25">
      <c r="A552" s="1" t="s">
        <v>638</v>
      </c>
      <c r="B552" s="1" t="s">
        <v>18</v>
      </c>
      <c r="C552" s="1" t="s">
        <v>19</v>
      </c>
      <c r="D552" s="1" t="s">
        <v>20</v>
      </c>
      <c r="E552" s="1" t="s">
        <v>29</v>
      </c>
      <c r="F552" s="1" t="s">
        <v>44</v>
      </c>
      <c r="G552" s="1">
        <v>12.12</v>
      </c>
      <c r="H552" s="1">
        <v>10</v>
      </c>
      <c r="I552" s="1">
        <v>6.06</v>
      </c>
      <c r="J552" s="1">
        <v>127.26</v>
      </c>
      <c r="K552" s="4">
        <v>43588</v>
      </c>
      <c r="L552" s="3">
        <v>0.57222222222222219</v>
      </c>
      <c r="M552" s="1" t="s">
        <v>23</v>
      </c>
      <c r="N552" s="1">
        <v>121.2</v>
      </c>
      <c r="O552" s="1">
        <v>4.7619047620000003</v>
      </c>
      <c r="P552" s="1">
        <v>6.06</v>
      </c>
      <c r="Q552" s="1">
        <v>8.4</v>
      </c>
    </row>
    <row r="553" spans="1:17" ht="12.5" x14ac:dyDescent="0.25">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ht="12.5" x14ac:dyDescent="0.25">
      <c r="A554" s="1" t="s">
        <v>640</v>
      </c>
      <c r="B554" s="1" t="s">
        <v>18</v>
      </c>
      <c r="C554" s="1" t="s">
        <v>27</v>
      </c>
      <c r="D554" s="1" t="s">
        <v>28</v>
      </c>
      <c r="E554" s="1" t="s">
        <v>21</v>
      </c>
      <c r="F554" s="1"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row>
    <row r="555" spans="1:17" ht="12.5" x14ac:dyDescent="0.25">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ht="12.5" x14ac:dyDescent="0.25">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ht="12.5" x14ac:dyDescent="0.25">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ht="12.5" x14ac:dyDescent="0.25">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ht="12.5" x14ac:dyDescent="0.25">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ht="12.5" x14ac:dyDescent="0.25">
      <c r="A560" s="1" t="s">
        <v>646</v>
      </c>
      <c r="B560" s="1" t="s">
        <v>18</v>
      </c>
      <c r="C560" s="1" t="s">
        <v>19</v>
      </c>
      <c r="D560" s="1" t="s">
        <v>28</v>
      </c>
      <c r="E560" s="1" t="s">
        <v>29</v>
      </c>
      <c r="F560" s="1"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row>
    <row r="561" spans="1:17" ht="12.5" x14ac:dyDescent="0.25">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ht="12.5" x14ac:dyDescent="0.25">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ht="12.5" x14ac:dyDescent="0.25">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ht="12.5" x14ac:dyDescent="0.25">
      <c r="A564" s="1" t="s">
        <v>650</v>
      </c>
      <c r="B564" s="1" t="s">
        <v>18</v>
      </c>
      <c r="C564" s="1" t="s">
        <v>19</v>
      </c>
      <c r="D564" s="1" t="s">
        <v>28</v>
      </c>
      <c r="E564" s="1" t="s">
        <v>21</v>
      </c>
      <c r="F564" s="1"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row>
    <row r="565" spans="1:17" ht="12.5" x14ac:dyDescent="0.25">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ht="12.5" x14ac:dyDescent="0.25">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ht="12.5" x14ac:dyDescent="0.25">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ht="12.5" x14ac:dyDescent="0.25">
      <c r="A568" s="1" t="s">
        <v>654</v>
      </c>
      <c r="B568" s="1" t="s">
        <v>18</v>
      </c>
      <c r="C568" s="1" t="s">
        <v>19</v>
      </c>
      <c r="D568" s="1" t="s">
        <v>28</v>
      </c>
      <c r="E568" s="1" t="s">
        <v>29</v>
      </c>
      <c r="F568" s="1"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row>
    <row r="569" spans="1:17" ht="12.5" x14ac:dyDescent="0.25">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ht="12.5" x14ac:dyDescent="0.25">
      <c r="A570" s="1" t="s">
        <v>656</v>
      </c>
      <c r="B570" s="1" t="s">
        <v>18</v>
      </c>
      <c r="C570" s="1" t="s">
        <v>25</v>
      </c>
      <c r="D570" s="1" t="s">
        <v>28</v>
      </c>
      <c r="E570" s="1" t="s">
        <v>21</v>
      </c>
      <c r="F570" s="1" t="s">
        <v>44</v>
      </c>
      <c r="G570" s="1">
        <v>31.75</v>
      </c>
      <c r="H570" s="1">
        <v>4</v>
      </c>
      <c r="I570" s="1">
        <v>6.35</v>
      </c>
      <c r="J570" s="1">
        <v>133.35</v>
      </c>
      <c r="K570" s="4">
        <v>43679</v>
      </c>
      <c r="L570" s="3">
        <v>0.6430555555555556</v>
      </c>
      <c r="M570" s="1" t="s">
        <v>23</v>
      </c>
      <c r="N570" s="1">
        <v>127</v>
      </c>
      <c r="O570" s="1">
        <v>4.7619047620000003</v>
      </c>
      <c r="P570" s="1">
        <v>6.35</v>
      </c>
      <c r="Q570" s="1">
        <v>8.6</v>
      </c>
    </row>
    <row r="571" spans="1:17" ht="12.5" x14ac:dyDescent="0.25">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ht="12.5" x14ac:dyDescent="0.25">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ht="12.5" x14ac:dyDescent="0.25">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ht="12.5" x14ac:dyDescent="0.25">
      <c r="A574" s="1" t="s">
        <v>660</v>
      </c>
      <c r="B574" s="1" t="s">
        <v>54</v>
      </c>
      <c r="C574" s="1" t="s">
        <v>25</v>
      </c>
      <c r="D574" s="1" t="s">
        <v>28</v>
      </c>
      <c r="E574" s="1" t="s">
        <v>21</v>
      </c>
      <c r="F574" s="1"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row>
    <row r="575" spans="1:17" ht="12.5" x14ac:dyDescent="0.25">
      <c r="A575" s="1" t="s">
        <v>661</v>
      </c>
      <c r="B575" s="1" t="s">
        <v>18</v>
      </c>
      <c r="C575" s="1" t="s">
        <v>25</v>
      </c>
      <c r="D575" s="1" t="s">
        <v>28</v>
      </c>
      <c r="E575" s="1" t="s">
        <v>21</v>
      </c>
      <c r="F575" s="1"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row>
    <row r="576" spans="1:17" ht="12.5" x14ac:dyDescent="0.25">
      <c r="A576" s="1" t="s">
        <v>662</v>
      </c>
      <c r="B576" s="1" t="s">
        <v>18</v>
      </c>
      <c r="C576" s="1" t="s">
        <v>25</v>
      </c>
      <c r="D576" s="1" t="s">
        <v>28</v>
      </c>
      <c r="E576" s="1" t="s">
        <v>21</v>
      </c>
      <c r="F576" s="1"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row>
    <row r="577" spans="1:17" ht="12.5" x14ac:dyDescent="0.25">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ht="12.5" x14ac:dyDescent="0.25">
      <c r="A578" s="1" t="s">
        <v>664</v>
      </c>
      <c r="B578" s="1" t="s">
        <v>18</v>
      </c>
      <c r="C578" s="1" t="s">
        <v>25</v>
      </c>
      <c r="D578" s="1" t="s">
        <v>28</v>
      </c>
      <c r="E578" s="1" t="s">
        <v>29</v>
      </c>
      <c r="F578" s="1"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row>
    <row r="579" spans="1:17" ht="12.5" x14ac:dyDescent="0.25">
      <c r="A579" s="1" t="s">
        <v>665</v>
      </c>
      <c r="B579" s="1" t="s">
        <v>18</v>
      </c>
      <c r="C579" s="1" t="s">
        <v>25</v>
      </c>
      <c r="D579" s="1" t="s">
        <v>28</v>
      </c>
      <c r="E579" s="1" t="s">
        <v>29</v>
      </c>
      <c r="F579" s="1"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row>
    <row r="580" spans="1:17" ht="12.5" x14ac:dyDescent="0.25">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ht="12.5" x14ac:dyDescent="0.25">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ht="12.5" x14ac:dyDescent="0.25">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ht="12.5" x14ac:dyDescent="0.25">
      <c r="A583" s="1" t="s">
        <v>669</v>
      </c>
      <c r="B583" s="1" t="s">
        <v>18</v>
      </c>
      <c r="C583" s="1" t="s">
        <v>25</v>
      </c>
      <c r="D583" s="1" t="s">
        <v>20</v>
      </c>
      <c r="E583" s="1" t="s">
        <v>29</v>
      </c>
      <c r="F583" s="1"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row>
    <row r="584" spans="1:17" ht="12.5" x14ac:dyDescent="0.25">
      <c r="A584" s="1" t="s">
        <v>670</v>
      </c>
      <c r="B584" s="1" t="s">
        <v>54</v>
      </c>
      <c r="C584" s="1" t="s">
        <v>25</v>
      </c>
      <c r="D584" s="1" t="s">
        <v>20</v>
      </c>
      <c r="E584" s="1" t="s">
        <v>21</v>
      </c>
      <c r="F584" s="1"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row>
    <row r="585" spans="1:17" ht="12.5" x14ac:dyDescent="0.25">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ht="12.5" x14ac:dyDescent="0.25">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ht="12.5" x14ac:dyDescent="0.25">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ht="12.5" x14ac:dyDescent="0.25">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ht="12.5" x14ac:dyDescent="0.25">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ht="12.5" x14ac:dyDescent="0.25">
      <c r="A590" s="1" t="s">
        <v>676</v>
      </c>
      <c r="B590" s="1" t="s">
        <v>18</v>
      </c>
      <c r="C590" s="1" t="s">
        <v>25</v>
      </c>
      <c r="D590" s="1" t="s">
        <v>28</v>
      </c>
      <c r="E590" s="1" t="s">
        <v>21</v>
      </c>
      <c r="F590" s="1"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row>
    <row r="591" spans="1:17" ht="12.5" x14ac:dyDescent="0.25">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ht="12.5" x14ac:dyDescent="0.25">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ht="12.5" x14ac:dyDescent="0.25">
      <c r="A593" s="1" t="s">
        <v>679</v>
      </c>
      <c r="B593" s="1" t="s">
        <v>18</v>
      </c>
      <c r="C593" s="1" t="s">
        <v>19</v>
      </c>
      <c r="D593" s="1" t="s">
        <v>28</v>
      </c>
      <c r="E593" s="1" t="s">
        <v>21</v>
      </c>
      <c r="F593" s="1"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row>
    <row r="594" spans="1:17" ht="12.5" x14ac:dyDescent="0.25">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ht="12.5" x14ac:dyDescent="0.25">
      <c r="A595" s="1" t="s">
        <v>681</v>
      </c>
      <c r="B595" s="1" t="s">
        <v>18</v>
      </c>
      <c r="C595" s="1" t="s">
        <v>19</v>
      </c>
      <c r="D595" s="1" t="s">
        <v>28</v>
      </c>
      <c r="E595" s="1" t="s">
        <v>21</v>
      </c>
      <c r="F595" s="1"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row>
    <row r="596" spans="1:17" ht="12.5" x14ac:dyDescent="0.25">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ht="12.5" x14ac:dyDescent="0.25">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ht="12.5" x14ac:dyDescent="0.25">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ht="12.5" x14ac:dyDescent="0.25">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ht="12.5" x14ac:dyDescent="0.25">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ht="12.5" x14ac:dyDescent="0.25">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ht="12.5" x14ac:dyDescent="0.25">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ht="12.5" x14ac:dyDescent="0.25">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ht="12.5" x14ac:dyDescent="0.25">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ht="12.5" x14ac:dyDescent="0.25">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ht="12.5" x14ac:dyDescent="0.25">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ht="12.5" x14ac:dyDescent="0.25">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ht="12.5" x14ac:dyDescent="0.25">
      <c r="A608" s="1" t="s">
        <v>694</v>
      </c>
      <c r="B608" s="1" t="s">
        <v>33</v>
      </c>
      <c r="C608" s="1" t="s">
        <v>25</v>
      </c>
      <c r="D608" s="1" t="s">
        <v>28</v>
      </c>
      <c r="E608" s="1" t="s">
        <v>29</v>
      </c>
      <c r="F608" s="1" t="s">
        <v>39</v>
      </c>
      <c r="G608" s="1">
        <v>27.28</v>
      </c>
      <c r="H608" s="1">
        <v>5</v>
      </c>
      <c r="I608" s="1">
        <v>6.82</v>
      </c>
      <c r="J608" s="1">
        <v>143.22</v>
      </c>
      <c r="K608" s="4">
        <v>43526</v>
      </c>
      <c r="L608" s="3">
        <v>0.43819444444444444</v>
      </c>
      <c r="M608" s="1" t="s">
        <v>48</v>
      </c>
      <c r="N608" s="1">
        <v>136.4</v>
      </c>
      <c r="O608" s="1">
        <v>4.7619047620000003</v>
      </c>
      <c r="P608" s="1">
        <v>6.82</v>
      </c>
      <c r="Q608" s="1">
        <v>8.6</v>
      </c>
    </row>
    <row r="609" spans="1:17" ht="12.5" x14ac:dyDescent="0.25">
      <c r="A609" s="1" t="s">
        <v>695</v>
      </c>
      <c r="B609" s="1" t="s">
        <v>33</v>
      </c>
      <c r="C609" s="1" t="s">
        <v>25</v>
      </c>
      <c r="D609" s="1" t="s">
        <v>28</v>
      </c>
      <c r="E609" s="1" t="s">
        <v>21</v>
      </c>
      <c r="F609" s="1" t="s">
        <v>39</v>
      </c>
      <c r="G609" s="1">
        <v>27.28</v>
      </c>
      <c r="H609" s="1">
        <v>5</v>
      </c>
      <c r="I609" s="1">
        <v>6.82</v>
      </c>
      <c r="J609" s="1">
        <v>143.22</v>
      </c>
      <c r="K609" s="4">
        <v>43526</v>
      </c>
      <c r="L609" s="3">
        <v>0.43819444444444444</v>
      </c>
      <c r="M609" s="1" t="s">
        <v>48</v>
      </c>
      <c r="N609" s="1">
        <v>136.4</v>
      </c>
      <c r="O609" s="1">
        <v>4.7619047620000003</v>
      </c>
      <c r="P609" s="1">
        <v>6.82</v>
      </c>
      <c r="Q609" s="1">
        <v>8.6</v>
      </c>
    </row>
    <row r="610" spans="1:17" ht="12.5" x14ac:dyDescent="0.25">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ht="12.5" x14ac:dyDescent="0.25">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ht="12.5" x14ac:dyDescent="0.25">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ht="12.5" x14ac:dyDescent="0.25">
      <c r="A613" s="1" t="s">
        <v>699</v>
      </c>
      <c r="B613" s="1" t="s">
        <v>18</v>
      </c>
      <c r="C613" s="1" t="s">
        <v>19</v>
      </c>
      <c r="D613" s="1" t="s">
        <v>28</v>
      </c>
      <c r="E613" s="1" t="s">
        <v>21</v>
      </c>
      <c r="F613" s="1"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row>
    <row r="614" spans="1:17" ht="12.5" x14ac:dyDescent="0.25">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ht="12.5" x14ac:dyDescent="0.25">
      <c r="A615" s="1" t="s">
        <v>701</v>
      </c>
      <c r="B615" s="1" t="s">
        <v>54</v>
      </c>
      <c r="C615" s="1" t="s">
        <v>25</v>
      </c>
      <c r="D615" s="1" t="s">
        <v>28</v>
      </c>
      <c r="E615" s="1" t="s">
        <v>21</v>
      </c>
      <c r="F615" s="1"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row>
    <row r="616" spans="1:17" ht="12.5" x14ac:dyDescent="0.25">
      <c r="A616" s="1" t="s">
        <v>702</v>
      </c>
      <c r="B616" s="1" t="s">
        <v>54</v>
      </c>
      <c r="C616" s="1" t="s">
        <v>25</v>
      </c>
      <c r="D616" s="1" t="s">
        <v>28</v>
      </c>
      <c r="E616" s="1" t="s">
        <v>21</v>
      </c>
      <c r="F616" s="1"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row>
    <row r="617" spans="1:17" ht="12.5" x14ac:dyDescent="0.25">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ht="12.5" x14ac:dyDescent="0.25">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ht="12.5" x14ac:dyDescent="0.25">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ht="12.5" x14ac:dyDescent="0.25">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ht="12.5" x14ac:dyDescent="0.25">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ht="12.5" x14ac:dyDescent="0.25">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ht="12.5" x14ac:dyDescent="0.25">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ht="12.5" x14ac:dyDescent="0.25">
      <c r="A624" s="1" t="s">
        <v>710</v>
      </c>
      <c r="B624" s="1" t="s">
        <v>18</v>
      </c>
      <c r="C624" s="1" t="s">
        <v>25</v>
      </c>
      <c r="D624" s="1" t="s">
        <v>28</v>
      </c>
      <c r="E624" s="1" t="s">
        <v>21</v>
      </c>
      <c r="F624" s="1"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row>
    <row r="625" spans="1:17" ht="12.5" x14ac:dyDescent="0.25">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ht="12.5" x14ac:dyDescent="0.25">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ht="12.5" x14ac:dyDescent="0.25">
      <c r="A627" s="1" t="s">
        <v>713</v>
      </c>
      <c r="B627" s="1" t="s">
        <v>18</v>
      </c>
      <c r="C627" s="1" t="s">
        <v>25</v>
      </c>
      <c r="D627" s="1" t="s">
        <v>28</v>
      </c>
      <c r="E627" s="1" t="s">
        <v>21</v>
      </c>
      <c r="F627" s="1"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row>
    <row r="628" spans="1:17" ht="12.5" x14ac:dyDescent="0.25">
      <c r="A628" s="1" t="s">
        <v>714</v>
      </c>
      <c r="B628" s="1" t="s">
        <v>54</v>
      </c>
      <c r="C628" s="1" t="s">
        <v>25</v>
      </c>
      <c r="D628" s="1" t="s">
        <v>28</v>
      </c>
      <c r="E628" s="1" t="s">
        <v>21</v>
      </c>
      <c r="F628" s="1"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row>
    <row r="629" spans="1:17" ht="12.5" x14ac:dyDescent="0.25">
      <c r="A629" s="1" t="s">
        <v>715</v>
      </c>
      <c r="B629" s="1" t="s">
        <v>54</v>
      </c>
      <c r="C629" s="1" t="s">
        <v>19</v>
      </c>
      <c r="D629" s="1" t="s">
        <v>28</v>
      </c>
      <c r="E629" s="1" t="s">
        <v>21</v>
      </c>
      <c r="F629" s="1"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row>
    <row r="630" spans="1:17" ht="12.5" x14ac:dyDescent="0.25">
      <c r="A630" s="1" t="s">
        <v>716</v>
      </c>
      <c r="B630" s="1" t="s">
        <v>54</v>
      </c>
      <c r="C630" s="1" t="s">
        <v>25</v>
      </c>
      <c r="D630" s="1" t="s">
        <v>28</v>
      </c>
      <c r="E630" s="1" t="s">
        <v>21</v>
      </c>
      <c r="F630" s="1"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row>
    <row r="631" spans="1:17" ht="12.5" x14ac:dyDescent="0.25">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ht="12.5" x14ac:dyDescent="0.25">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ht="12.5" x14ac:dyDescent="0.25">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ht="12.5" x14ac:dyDescent="0.25">
      <c r="A634" s="1" t="s">
        <v>720</v>
      </c>
      <c r="B634" s="1" t="s">
        <v>33</v>
      </c>
      <c r="C634" s="1" t="s">
        <v>25</v>
      </c>
      <c r="D634" s="1" t="s">
        <v>28</v>
      </c>
      <c r="E634" s="1" t="s">
        <v>29</v>
      </c>
      <c r="F634" s="1"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row>
    <row r="635" spans="1:17" ht="12.5" x14ac:dyDescent="0.25">
      <c r="A635" s="1" t="s">
        <v>721</v>
      </c>
      <c r="B635" s="1" t="s">
        <v>18</v>
      </c>
      <c r="C635" s="1" t="s">
        <v>25</v>
      </c>
      <c r="D635" s="1" t="s">
        <v>28</v>
      </c>
      <c r="E635" s="1" t="s">
        <v>21</v>
      </c>
      <c r="F635" s="1"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row>
    <row r="636" spans="1:17" ht="12.5" x14ac:dyDescent="0.25">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ht="12.5" x14ac:dyDescent="0.25">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ht="12.5" x14ac:dyDescent="0.25">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ht="12.5" x14ac:dyDescent="0.25">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ht="12.5" x14ac:dyDescent="0.25">
      <c r="A640" s="1" t="s">
        <v>726</v>
      </c>
      <c r="B640" s="1" t="s">
        <v>18</v>
      </c>
      <c r="C640" s="1" t="s">
        <v>25</v>
      </c>
      <c r="D640" s="1" t="s">
        <v>28</v>
      </c>
      <c r="E640" s="1" t="s">
        <v>29</v>
      </c>
      <c r="F640" s="1" t="s">
        <v>39</v>
      </c>
      <c r="G640" s="1">
        <v>28.32</v>
      </c>
      <c r="H640" s="1">
        <v>5</v>
      </c>
      <c r="I640" s="1">
        <v>7.08</v>
      </c>
      <c r="J640" s="1">
        <v>148.68</v>
      </c>
      <c r="K640" s="4">
        <v>43772</v>
      </c>
      <c r="L640" s="3">
        <v>0.56111111111111112</v>
      </c>
      <c r="M640" s="1" t="s">
        <v>40</v>
      </c>
      <c r="N640" s="1">
        <v>141.6</v>
      </c>
      <c r="O640" s="1">
        <v>4.7619047620000003</v>
      </c>
      <c r="P640" s="1">
        <v>7.08</v>
      </c>
      <c r="Q640" s="1">
        <v>6.2</v>
      </c>
    </row>
    <row r="641" spans="1:17" ht="12.5" x14ac:dyDescent="0.25">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ht="12.5" x14ac:dyDescent="0.25">
      <c r="A642" s="1" t="s">
        <v>728</v>
      </c>
      <c r="B642" s="1" t="s">
        <v>54</v>
      </c>
      <c r="C642" s="1" t="s">
        <v>25</v>
      </c>
      <c r="D642" s="1" t="s">
        <v>28</v>
      </c>
      <c r="E642" s="1" t="s">
        <v>21</v>
      </c>
      <c r="F642" s="1"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row>
    <row r="643" spans="1:17" ht="12.5" x14ac:dyDescent="0.25">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ht="12.5" x14ac:dyDescent="0.25">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ht="12.5" x14ac:dyDescent="0.25">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ht="12.5" x14ac:dyDescent="0.25">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ht="12.5" x14ac:dyDescent="0.25">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ht="12.5" x14ac:dyDescent="0.25">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ht="12.5" x14ac:dyDescent="0.25">
      <c r="A649" s="1" t="s">
        <v>735</v>
      </c>
      <c r="B649" s="1" t="s">
        <v>33</v>
      </c>
      <c r="C649" s="1" t="s">
        <v>25</v>
      </c>
      <c r="D649" s="1" t="s">
        <v>20</v>
      </c>
      <c r="E649" s="1" t="s">
        <v>29</v>
      </c>
      <c r="F649" s="1"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row>
    <row r="650" spans="1:17" ht="12.5" x14ac:dyDescent="0.25">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ht="12.5" x14ac:dyDescent="0.25">
      <c r="A651" s="1" t="s">
        <v>737</v>
      </c>
      <c r="B651" s="1" t="s">
        <v>18</v>
      </c>
      <c r="C651" s="1" t="s">
        <v>25</v>
      </c>
      <c r="D651" s="1" t="s">
        <v>20</v>
      </c>
      <c r="E651" s="1" t="s">
        <v>29</v>
      </c>
      <c r="F651" s="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row>
    <row r="652" spans="1:17" ht="12.5" x14ac:dyDescent="0.25">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ht="12.5" x14ac:dyDescent="0.25">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ht="12.5" x14ac:dyDescent="0.25">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ht="12.5" x14ac:dyDescent="0.25">
      <c r="A655" s="1" t="s">
        <v>741</v>
      </c>
      <c r="B655" s="1" t="s">
        <v>18</v>
      </c>
      <c r="C655" s="1" t="s">
        <v>25</v>
      </c>
      <c r="D655" s="1" t="s">
        <v>20</v>
      </c>
      <c r="E655" s="1" t="s">
        <v>29</v>
      </c>
      <c r="F655" s="1"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row>
    <row r="656" spans="1:17" ht="12.5" x14ac:dyDescent="0.25">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ht="12.5" x14ac:dyDescent="0.25">
      <c r="A657" s="1" t="s">
        <v>743</v>
      </c>
      <c r="B657" s="1" t="s">
        <v>54</v>
      </c>
      <c r="C657" s="1" t="s">
        <v>25</v>
      </c>
      <c r="D657" s="1" t="s">
        <v>28</v>
      </c>
      <c r="E657" s="1" t="s">
        <v>21</v>
      </c>
      <c r="F657" s="1"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row>
    <row r="658" spans="1:17" ht="12.5" x14ac:dyDescent="0.25">
      <c r="A658" s="1" t="s">
        <v>744</v>
      </c>
      <c r="B658" s="1" t="s">
        <v>54</v>
      </c>
      <c r="C658" s="1" t="s">
        <v>25</v>
      </c>
      <c r="D658" s="1" t="s">
        <v>20</v>
      </c>
      <c r="E658" s="1" t="s">
        <v>21</v>
      </c>
      <c r="F658" s="1"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row>
    <row r="659" spans="1:17" ht="12.5" x14ac:dyDescent="0.25">
      <c r="A659" s="1" t="s">
        <v>745</v>
      </c>
      <c r="B659" s="1" t="s">
        <v>18</v>
      </c>
      <c r="C659" s="1" t="s">
        <v>25</v>
      </c>
      <c r="D659" s="1" t="s">
        <v>28</v>
      </c>
      <c r="E659" s="1" t="s">
        <v>21</v>
      </c>
      <c r="F659" s="1"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row>
    <row r="660" spans="1:17" ht="12.5" x14ac:dyDescent="0.25">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ht="12.5" x14ac:dyDescent="0.25">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ht="12.5" x14ac:dyDescent="0.25">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ht="12.5" x14ac:dyDescent="0.25">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ht="12.5" x14ac:dyDescent="0.25">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ht="12.5" x14ac:dyDescent="0.25">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ht="12.5" x14ac:dyDescent="0.25">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ht="12.5" x14ac:dyDescent="0.25">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ht="12.5" x14ac:dyDescent="0.25">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ht="12.5" x14ac:dyDescent="0.25">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ht="12.5" x14ac:dyDescent="0.25">
      <c r="A670" s="1" t="s">
        <v>756</v>
      </c>
      <c r="B670" s="1" t="s">
        <v>18</v>
      </c>
      <c r="C670" s="1" t="s">
        <v>25</v>
      </c>
      <c r="D670" s="1" t="s">
        <v>20</v>
      </c>
      <c r="E670" s="1" t="s">
        <v>29</v>
      </c>
      <c r="F670" s="1"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row>
    <row r="671" spans="1:17" ht="12.5" x14ac:dyDescent="0.25">
      <c r="A671" s="1" t="s">
        <v>757</v>
      </c>
      <c r="B671" s="1" t="s">
        <v>54</v>
      </c>
      <c r="C671" s="1" t="s">
        <v>25</v>
      </c>
      <c r="D671" s="1" t="s">
        <v>20</v>
      </c>
      <c r="E671" s="1" t="s">
        <v>21</v>
      </c>
      <c r="F671" s="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row>
    <row r="672" spans="1:17" ht="12.5" x14ac:dyDescent="0.25">
      <c r="A672" s="1" t="s">
        <v>758</v>
      </c>
      <c r="B672" s="1" t="s">
        <v>18</v>
      </c>
      <c r="C672" s="1" t="s">
        <v>25</v>
      </c>
      <c r="D672" s="1" t="s">
        <v>20</v>
      </c>
      <c r="E672" s="1" t="s">
        <v>21</v>
      </c>
      <c r="F672" s="1"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row>
    <row r="673" spans="1:17" ht="12.5" x14ac:dyDescent="0.25">
      <c r="A673" s="1" t="s">
        <v>759</v>
      </c>
      <c r="B673" s="1" t="s">
        <v>54</v>
      </c>
      <c r="C673" s="1" t="s">
        <v>25</v>
      </c>
      <c r="D673" s="1" t="s">
        <v>20</v>
      </c>
      <c r="E673" s="1" t="s">
        <v>29</v>
      </c>
      <c r="F673" s="1"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row>
    <row r="674" spans="1:17" ht="12.5" x14ac:dyDescent="0.25">
      <c r="A674" s="1" t="s">
        <v>760</v>
      </c>
      <c r="B674" s="1" t="s">
        <v>54</v>
      </c>
      <c r="C674" s="1" t="s">
        <v>25</v>
      </c>
      <c r="D674" s="1" t="s">
        <v>20</v>
      </c>
      <c r="E674" s="1" t="s">
        <v>21</v>
      </c>
      <c r="F674" s="1"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row>
    <row r="675" spans="1:17" ht="12.5" x14ac:dyDescent="0.25">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ht="12.5" x14ac:dyDescent="0.25">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ht="12.5" x14ac:dyDescent="0.25">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ht="12.5" x14ac:dyDescent="0.25">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ht="12.5" x14ac:dyDescent="0.25">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ht="12.5" x14ac:dyDescent="0.25">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ht="12.5" x14ac:dyDescent="0.25">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ht="12.5" x14ac:dyDescent="0.25">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ht="12.5" x14ac:dyDescent="0.25">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ht="12.5" x14ac:dyDescent="0.25">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ht="12.5" x14ac:dyDescent="0.25">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ht="12.5" x14ac:dyDescent="0.25">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ht="12.5" x14ac:dyDescent="0.25">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ht="12.5" x14ac:dyDescent="0.25">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ht="12.5" x14ac:dyDescent="0.25">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ht="12.5" x14ac:dyDescent="0.25">
      <c r="A690" s="1" t="s">
        <v>776</v>
      </c>
      <c r="B690" s="1" t="s">
        <v>18</v>
      </c>
      <c r="C690" s="1" t="s">
        <v>27</v>
      </c>
      <c r="D690" s="1" t="s">
        <v>28</v>
      </c>
      <c r="E690" s="1" t="s">
        <v>21</v>
      </c>
      <c r="F690" s="1"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row>
    <row r="691" spans="1:17" ht="12.5" x14ac:dyDescent="0.25">
      <c r="A691" s="1" t="s">
        <v>777</v>
      </c>
      <c r="B691" s="1" t="s">
        <v>33</v>
      </c>
      <c r="C691" s="1" t="s">
        <v>27</v>
      </c>
      <c r="D691" s="1" t="s">
        <v>28</v>
      </c>
      <c r="E691" s="1" t="s">
        <v>21</v>
      </c>
      <c r="F691" s="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row>
    <row r="692" spans="1:17" ht="12.5" x14ac:dyDescent="0.25">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ht="12.5" x14ac:dyDescent="0.25">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ht="12.5" x14ac:dyDescent="0.25">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ht="12.5" x14ac:dyDescent="0.25">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ht="12.5" x14ac:dyDescent="0.25">
      <c r="A696" s="1" t="s">
        <v>782</v>
      </c>
      <c r="B696" s="1" t="s">
        <v>33</v>
      </c>
      <c r="C696" s="1" t="s">
        <v>25</v>
      </c>
      <c r="D696" s="1" t="s">
        <v>20</v>
      </c>
      <c r="E696" s="1" t="s">
        <v>21</v>
      </c>
      <c r="F696" s="1"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row>
    <row r="697" spans="1:17" ht="12.5" x14ac:dyDescent="0.25">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ht="12.5" x14ac:dyDescent="0.25">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ht="12.5" x14ac:dyDescent="0.25">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ht="12.5" x14ac:dyDescent="0.25">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ht="12.5" x14ac:dyDescent="0.25">
      <c r="A701" s="1" t="s">
        <v>787</v>
      </c>
      <c r="B701" s="1" t="s">
        <v>33</v>
      </c>
      <c r="C701" s="1" t="s">
        <v>25</v>
      </c>
      <c r="D701" s="1" t="s">
        <v>20</v>
      </c>
      <c r="E701" s="1" t="s">
        <v>21</v>
      </c>
      <c r="F701" s="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row>
    <row r="702" spans="1:17" ht="12.5" x14ac:dyDescent="0.25">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ht="12.5" x14ac:dyDescent="0.25">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ht="12.5" x14ac:dyDescent="0.25">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ht="12.5" x14ac:dyDescent="0.25">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ht="12.5" x14ac:dyDescent="0.25">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ht="12.5" x14ac:dyDescent="0.25">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ht="12.5" x14ac:dyDescent="0.25">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ht="12.5" x14ac:dyDescent="0.25">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ht="12.5" x14ac:dyDescent="0.25">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ht="12.5" x14ac:dyDescent="0.25">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ht="12.5" x14ac:dyDescent="0.25">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ht="12.5" x14ac:dyDescent="0.25">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ht="12.5" x14ac:dyDescent="0.25">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ht="12.5" x14ac:dyDescent="0.25">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ht="12.5" x14ac:dyDescent="0.25">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ht="12.5" x14ac:dyDescent="0.25">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ht="12.5" x14ac:dyDescent="0.25">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ht="12.5" x14ac:dyDescent="0.25">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ht="12.5" x14ac:dyDescent="0.25">
      <c r="A720" s="1" t="s">
        <v>806</v>
      </c>
      <c r="B720" s="1" t="s">
        <v>18</v>
      </c>
      <c r="C720" s="1" t="s">
        <v>25</v>
      </c>
      <c r="D720" s="1" t="s">
        <v>28</v>
      </c>
      <c r="E720" s="1" t="s">
        <v>29</v>
      </c>
      <c r="F720" s="1" t="s">
        <v>39</v>
      </c>
      <c r="G720" s="1">
        <v>15.8</v>
      </c>
      <c r="H720" s="1">
        <v>10</v>
      </c>
      <c r="I720" s="1">
        <v>7.9</v>
      </c>
      <c r="J720" s="1">
        <v>165.9</v>
      </c>
      <c r="K720" s="4">
        <v>43709</v>
      </c>
      <c r="L720" s="3">
        <v>0.50486111111111109</v>
      </c>
      <c r="M720" s="1" t="s">
        <v>23</v>
      </c>
      <c r="N720" s="1">
        <v>158</v>
      </c>
      <c r="O720" s="1">
        <v>4.7619047620000003</v>
      </c>
      <c r="P720" s="1">
        <v>7.9</v>
      </c>
      <c r="Q720" s="1">
        <v>7.8</v>
      </c>
    </row>
    <row r="721" spans="1:17" ht="12.5" x14ac:dyDescent="0.25">
      <c r="A721" s="1" t="s">
        <v>807</v>
      </c>
      <c r="B721" s="1" t="s">
        <v>33</v>
      </c>
      <c r="C721" s="1" t="s">
        <v>27</v>
      </c>
      <c r="D721" s="1" t="s">
        <v>20</v>
      </c>
      <c r="E721" s="1" t="s">
        <v>21</v>
      </c>
      <c r="F721" s="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row>
    <row r="722" spans="1:17" ht="12.5" x14ac:dyDescent="0.25">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ht="12.5" x14ac:dyDescent="0.25">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ht="12.5" x14ac:dyDescent="0.25">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ht="12.5" x14ac:dyDescent="0.25">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ht="12.5" x14ac:dyDescent="0.25">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ht="12.5" x14ac:dyDescent="0.25">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ht="12.5" x14ac:dyDescent="0.25">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ht="12.5" x14ac:dyDescent="0.25">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ht="12.5" x14ac:dyDescent="0.25">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ht="12.5" x14ac:dyDescent="0.25">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ht="12.5" x14ac:dyDescent="0.25">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ht="12.5" x14ac:dyDescent="0.25">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ht="12.5" x14ac:dyDescent="0.25">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ht="12.5" x14ac:dyDescent="0.25">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ht="12.5" x14ac:dyDescent="0.25">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ht="12.5" x14ac:dyDescent="0.25">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ht="12.5" x14ac:dyDescent="0.25">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ht="12.5" x14ac:dyDescent="0.25">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ht="12.5" x14ac:dyDescent="0.25">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ht="12.5" x14ac:dyDescent="0.25">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ht="12.5" x14ac:dyDescent="0.25">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ht="12.5" x14ac:dyDescent="0.25">
      <c r="A743" s="1" t="s">
        <v>829</v>
      </c>
      <c r="B743" s="1" t="s">
        <v>33</v>
      </c>
      <c r="C743" s="1" t="s">
        <v>25</v>
      </c>
      <c r="D743" s="1" t="s">
        <v>28</v>
      </c>
      <c r="E743" s="1" t="s">
        <v>29</v>
      </c>
      <c r="F743" s="1"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row>
    <row r="744" spans="1:17" ht="12.5" x14ac:dyDescent="0.25">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ht="12.5" x14ac:dyDescent="0.25">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ht="12.5" x14ac:dyDescent="0.25">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ht="12.5" x14ac:dyDescent="0.25">
      <c r="A747" s="1" t="s">
        <v>833</v>
      </c>
      <c r="B747" s="1" t="s">
        <v>18</v>
      </c>
      <c r="C747" s="1" t="s">
        <v>19</v>
      </c>
      <c r="D747" s="1" t="s">
        <v>28</v>
      </c>
      <c r="E747" s="1" t="s">
        <v>21</v>
      </c>
      <c r="F747" s="1"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row>
    <row r="748" spans="1:17" ht="12.5" x14ac:dyDescent="0.25">
      <c r="A748" s="1" t="s">
        <v>834</v>
      </c>
      <c r="B748" s="1" t="s">
        <v>18</v>
      </c>
      <c r="C748" s="1" t="s">
        <v>19</v>
      </c>
      <c r="D748" s="1" t="s">
        <v>28</v>
      </c>
      <c r="E748" s="1" t="s">
        <v>21</v>
      </c>
      <c r="F748" s="1"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row>
    <row r="749" spans="1:17" ht="12.5" x14ac:dyDescent="0.25">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ht="12.5" x14ac:dyDescent="0.25">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ht="12.5" x14ac:dyDescent="0.25">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ht="12.5" x14ac:dyDescent="0.25">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ht="12.5" x14ac:dyDescent="0.25">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ht="12.5" x14ac:dyDescent="0.25">
      <c r="A754" s="1" t="s">
        <v>841</v>
      </c>
      <c r="B754" s="1" t="s">
        <v>18</v>
      </c>
      <c r="C754" s="1" t="s">
        <v>19</v>
      </c>
      <c r="D754" s="1" t="s">
        <v>28</v>
      </c>
      <c r="E754" s="1" t="s">
        <v>21</v>
      </c>
      <c r="F754" s="1"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row>
    <row r="755" spans="1:17" ht="12.5" x14ac:dyDescent="0.25">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ht="12.5" x14ac:dyDescent="0.25">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ht="12.5" x14ac:dyDescent="0.25">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ht="12.5" x14ac:dyDescent="0.25">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ht="12.5" x14ac:dyDescent="0.25">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ht="12.5" x14ac:dyDescent="0.25">
      <c r="A760" s="1" t="s">
        <v>847</v>
      </c>
      <c r="B760" s="1" t="s">
        <v>18</v>
      </c>
      <c r="C760" s="1" t="s">
        <v>19</v>
      </c>
      <c r="D760" s="1" t="s">
        <v>20</v>
      </c>
      <c r="E760" s="1" t="s">
        <v>29</v>
      </c>
      <c r="F760" s="1"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row>
    <row r="761" spans="1:17" ht="12.5" x14ac:dyDescent="0.25">
      <c r="A761" s="1" t="s">
        <v>848</v>
      </c>
      <c r="B761" s="1" t="s">
        <v>18</v>
      </c>
      <c r="C761" s="1" t="s">
        <v>25</v>
      </c>
      <c r="D761" s="1" t="s">
        <v>20</v>
      </c>
      <c r="E761" s="1" t="s">
        <v>21</v>
      </c>
      <c r="F761" s="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row>
    <row r="762" spans="1:17" ht="12.5" x14ac:dyDescent="0.25">
      <c r="A762" s="1" t="s">
        <v>849</v>
      </c>
      <c r="B762" s="1" t="s">
        <v>18</v>
      </c>
      <c r="C762" s="1" t="s">
        <v>25</v>
      </c>
      <c r="D762" s="1" t="s">
        <v>28</v>
      </c>
      <c r="E762" s="1" t="s">
        <v>21</v>
      </c>
      <c r="F762" s="1"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row>
    <row r="763" spans="1:17" ht="12.5" x14ac:dyDescent="0.25">
      <c r="A763" s="1" t="s">
        <v>850</v>
      </c>
      <c r="B763" s="1" t="s">
        <v>18</v>
      </c>
      <c r="C763" s="1" t="s">
        <v>19</v>
      </c>
      <c r="D763" s="1" t="s">
        <v>28</v>
      </c>
      <c r="E763" s="1" t="s">
        <v>21</v>
      </c>
      <c r="F763" s="1" t="s">
        <v>84</v>
      </c>
      <c r="G763" s="1">
        <v>20.85</v>
      </c>
      <c r="H763" s="1">
        <v>8</v>
      </c>
      <c r="I763" s="1">
        <v>8.34</v>
      </c>
      <c r="J763" s="1">
        <v>175.14</v>
      </c>
      <c r="K763" s="4">
        <v>43527</v>
      </c>
      <c r="L763" s="3">
        <v>0.80347222222222225</v>
      </c>
      <c r="M763" s="1" t="s">
        <v>23</v>
      </c>
      <c r="N763" s="1">
        <v>166.8</v>
      </c>
      <c r="O763" s="1">
        <v>4.7619047620000003</v>
      </c>
      <c r="P763" s="1">
        <v>8.34</v>
      </c>
      <c r="Q763" s="1">
        <v>6.3</v>
      </c>
    </row>
    <row r="764" spans="1:17" ht="12.5" x14ac:dyDescent="0.25">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ht="12.5" x14ac:dyDescent="0.25">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ht="12.5" x14ac:dyDescent="0.25">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ht="12.5" x14ac:dyDescent="0.25">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ht="12.5" x14ac:dyDescent="0.25">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ht="12.5" x14ac:dyDescent="0.25">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ht="12.5" x14ac:dyDescent="0.25">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ht="12.5" x14ac:dyDescent="0.25">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ht="12.5" x14ac:dyDescent="0.25">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ht="12.5" x14ac:dyDescent="0.25">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ht="12.5" x14ac:dyDescent="0.25">
      <c r="A774" s="1" t="s">
        <v>861</v>
      </c>
      <c r="B774" s="1" t="s">
        <v>54</v>
      </c>
      <c r="C774" s="1" t="s">
        <v>25</v>
      </c>
      <c r="D774" s="1" t="s">
        <v>28</v>
      </c>
      <c r="E774" s="1" t="s">
        <v>21</v>
      </c>
      <c r="F774" s="1"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row>
    <row r="775" spans="1:17" ht="12.5" x14ac:dyDescent="0.25">
      <c r="A775" s="1" t="s">
        <v>862</v>
      </c>
      <c r="B775" s="1" t="s">
        <v>54</v>
      </c>
      <c r="C775" s="1" t="s">
        <v>25</v>
      </c>
      <c r="D775" s="1" t="s">
        <v>28</v>
      </c>
      <c r="E775" s="1" t="s">
        <v>21</v>
      </c>
      <c r="F775" s="1"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row>
    <row r="776" spans="1:17" ht="12.5" x14ac:dyDescent="0.25">
      <c r="A776" s="1" t="s">
        <v>863</v>
      </c>
      <c r="B776" s="1" t="s">
        <v>18</v>
      </c>
      <c r="C776" s="1" t="s">
        <v>25</v>
      </c>
      <c r="D776" s="1" t="s">
        <v>28</v>
      </c>
      <c r="E776" s="1" t="s">
        <v>21</v>
      </c>
      <c r="F776" s="1"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row>
    <row r="777" spans="1:17" ht="12.5" x14ac:dyDescent="0.25">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ht="12.5" x14ac:dyDescent="0.25">
      <c r="A778" s="1" t="s">
        <v>865</v>
      </c>
      <c r="B778" s="1" t="s">
        <v>54</v>
      </c>
      <c r="C778" s="1" t="s">
        <v>25</v>
      </c>
      <c r="D778" s="1" t="s">
        <v>28</v>
      </c>
      <c r="E778" s="1" t="s">
        <v>21</v>
      </c>
      <c r="F778" s="1"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row>
    <row r="779" spans="1:17" ht="12.5" x14ac:dyDescent="0.25">
      <c r="A779" s="1" t="s">
        <v>866</v>
      </c>
      <c r="B779" s="1" t="s">
        <v>18</v>
      </c>
      <c r="C779" s="1" t="s">
        <v>25</v>
      </c>
      <c r="D779" s="1" t="s">
        <v>28</v>
      </c>
      <c r="E779" s="1" t="s">
        <v>21</v>
      </c>
      <c r="F779" s="1"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row>
    <row r="780" spans="1:17" ht="12.5" x14ac:dyDescent="0.25">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ht="12.5" x14ac:dyDescent="0.25">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ht="12.5" x14ac:dyDescent="0.25">
      <c r="A782" s="1" t="s">
        <v>869</v>
      </c>
      <c r="B782" s="1" t="s">
        <v>54</v>
      </c>
      <c r="C782" s="1" t="s">
        <v>25</v>
      </c>
      <c r="D782" s="1" t="s">
        <v>28</v>
      </c>
      <c r="E782" s="1" t="s">
        <v>21</v>
      </c>
      <c r="F782" s="1"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row>
    <row r="783" spans="1:17" ht="12.5" x14ac:dyDescent="0.25">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ht="12.5" x14ac:dyDescent="0.25">
      <c r="A784" s="1" t="s">
        <v>871</v>
      </c>
      <c r="B784" s="1" t="s">
        <v>18</v>
      </c>
      <c r="C784" s="1" t="s">
        <v>25</v>
      </c>
      <c r="D784" s="1" t="s">
        <v>28</v>
      </c>
      <c r="E784" s="1" t="s">
        <v>21</v>
      </c>
      <c r="F784" s="1"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row>
    <row r="785" spans="1:17" ht="12.5" x14ac:dyDescent="0.25">
      <c r="A785" s="1" t="s">
        <v>872</v>
      </c>
      <c r="B785" s="1" t="s">
        <v>54</v>
      </c>
      <c r="C785" s="1" t="s">
        <v>25</v>
      </c>
      <c r="D785" s="1" t="s">
        <v>20</v>
      </c>
      <c r="E785" s="1" t="s">
        <v>29</v>
      </c>
      <c r="F785" s="1"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row>
    <row r="786" spans="1:17" ht="12.5" x14ac:dyDescent="0.25">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ht="12.5" x14ac:dyDescent="0.25">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ht="12.5" x14ac:dyDescent="0.25">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ht="12.5" x14ac:dyDescent="0.25">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ht="12.5" x14ac:dyDescent="0.25">
      <c r="A790" s="1" t="s">
        <v>877</v>
      </c>
      <c r="B790" s="1" t="s">
        <v>18</v>
      </c>
      <c r="C790" s="1" t="s">
        <v>25</v>
      </c>
      <c r="D790" s="1" t="s">
        <v>20</v>
      </c>
      <c r="E790" s="1" t="s">
        <v>21</v>
      </c>
      <c r="F790" s="1"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row>
    <row r="791" spans="1:17" ht="12.5" x14ac:dyDescent="0.25">
      <c r="A791" s="1" t="s">
        <v>878</v>
      </c>
      <c r="B791" s="1" t="s">
        <v>54</v>
      </c>
      <c r="C791" s="1" t="s">
        <v>25</v>
      </c>
      <c r="D791" s="1" t="s">
        <v>20</v>
      </c>
      <c r="E791" s="1" t="s">
        <v>21</v>
      </c>
      <c r="F791" s="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row>
    <row r="792" spans="1:17" ht="12.5" x14ac:dyDescent="0.25">
      <c r="A792" s="1" t="s">
        <v>879</v>
      </c>
      <c r="B792" s="1" t="s">
        <v>18</v>
      </c>
      <c r="C792" s="1" t="s">
        <v>25</v>
      </c>
      <c r="D792" s="1" t="s">
        <v>20</v>
      </c>
      <c r="E792" s="1" t="s">
        <v>21</v>
      </c>
      <c r="F792" s="1"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row>
    <row r="793" spans="1:17" ht="12.5" x14ac:dyDescent="0.25">
      <c r="A793" s="1" t="s">
        <v>880</v>
      </c>
      <c r="B793" s="1" t="s">
        <v>54</v>
      </c>
      <c r="C793" s="1" t="s">
        <v>19</v>
      </c>
      <c r="D793" s="1" t="s">
        <v>20</v>
      </c>
      <c r="E793" s="1" t="s">
        <v>21</v>
      </c>
      <c r="F793" s="1"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row>
    <row r="794" spans="1:17" ht="12.5" x14ac:dyDescent="0.25">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ht="12.5" x14ac:dyDescent="0.25">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ht="12.5" x14ac:dyDescent="0.25">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ht="12.5" x14ac:dyDescent="0.25">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ht="12.5" x14ac:dyDescent="0.25">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ht="12.5" x14ac:dyDescent="0.25">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ht="12.5" x14ac:dyDescent="0.25">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ht="12.5" x14ac:dyDescent="0.25">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ht="12.5" x14ac:dyDescent="0.25">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ht="12.5" x14ac:dyDescent="0.25">
      <c r="A803" s="1" t="s">
        <v>890</v>
      </c>
      <c r="B803" s="1" t="s">
        <v>18</v>
      </c>
      <c r="C803" s="1" t="s">
        <v>19</v>
      </c>
      <c r="D803" s="1" t="s">
        <v>20</v>
      </c>
      <c r="E803" s="1" t="s">
        <v>21</v>
      </c>
      <c r="F803" s="1"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row>
    <row r="804" spans="1:17" ht="12.5" x14ac:dyDescent="0.25">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ht="12.5" x14ac:dyDescent="0.25">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ht="12.5" x14ac:dyDescent="0.25">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ht="12.5" x14ac:dyDescent="0.25">
      <c r="A807" s="1" t="s">
        <v>894</v>
      </c>
      <c r="B807" s="1" t="s">
        <v>18</v>
      </c>
      <c r="C807" s="1" t="s">
        <v>19</v>
      </c>
      <c r="D807" s="1" t="s">
        <v>20</v>
      </c>
      <c r="E807" s="1" t="s">
        <v>21</v>
      </c>
      <c r="F807" s="1" t="s">
        <v>22</v>
      </c>
      <c r="G807" s="1">
        <v>29.22</v>
      </c>
      <c r="H807" s="1">
        <v>6</v>
      </c>
      <c r="I807" s="1">
        <v>8.766</v>
      </c>
      <c r="J807" s="1">
        <v>184.08600000000001</v>
      </c>
      <c r="K807" s="4">
        <v>43466</v>
      </c>
      <c r="L807" s="3">
        <v>0.4861111111111111</v>
      </c>
      <c r="M807" s="1" t="s">
        <v>40</v>
      </c>
      <c r="N807" s="1">
        <v>175.32</v>
      </c>
      <c r="O807" s="1">
        <v>4.7619047620000003</v>
      </c>
      <c r="P807" s="1">
        <v>8.766</v>
      </c>
      <c r="Q807" s="1">
        <v>5</v>
      </c>
    </row>
    <row r="808" spans="1:17" ht="12.5" x14ac:dyDescent="0.25">
      <c r="A808" s="1" t="s">
        <v>895</v>
      </c>
      <c r="B808" s="1" t="s">
        <v>18</v>
      </c>
      <c r="C808" s="1" t="s">
        <v>25</v>
      </c>
      <c r="D808" s="1" t="s">
        <v>20</v>
      </c>
      <c r="E808" s="1" t="s">
        <v>29</v>
      </c>
      <c r="F808" s="1" t="s">
        <v>22</v>
      </c>
      <c r="G808" s="1">
        <v>29.22</v>
      </c>
      <c r="H808" s="1">
        <v>6</v>
      </c>
      <c r="I808" s="1">
        <v>8.766</v>
      </c>
      <c r="J808" s="1">
        <v>184.08600000000001</v>
      </c>
      <c r="K808" s="4">
        <v>43466</v>
      </c>
      <c r="L808" s="3">
        <v>0.4861111111111111</v>
      </c>
      <c r="M808" s="1" t="s">
        <v>23</v>
      </c>
      <c r="N808" s="1">
        <v>175.32</v>
      </c>
      <c r="O808" s="1">
        <v>4.7619047620000003</v>
      </c>
      <c r="P808" s="1">
        <v>8.766</v>
      </c>
      <c r="Q808" s="1">
        <v>5</v>
      </c>
    </row>
    <row r="809" spans="1:17" ht="12.5" x14ac:dyDescent="0.25">
      <c r="A809" s="1" t="s">
        <v>896</v>
      </c>
      <c r="B809" s="1" t="s">
        <v>33</v>
      </c>
      <c r="C809" s="1" t="s">
        <v>27</v>
      </c>
      <c r="D809" s="1" t="s">
        <v>28</v>
      </c>
      <c r="E809" s="1" t="s">
        <v>29</v>
      </c>
      <c r="F809" s="1"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row>
    <row r="810" spans="1:17" ht="12.5" x14ac:dyDescent="0.25">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ht="12.5" x14ac:dyDescent="0.25">
      <c r="A811" s="1" t="s">
        <v>898</v>
      </c>
      <c r="B811" s="1" t="s">
        <v>33</v>
      </c>
      <c r="C811" s="1" t="s">
        <v>27</v>
      </c>
      <c r="D811" s="1" t="s">
        <v>20</v>
      </c>
      <c r="E811" s="1" t="s">
        <v>21</v>
      </c>
      <c r="F811" s="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row>
    <row r="812" spans="1:17" ht="12.5" x14ac:dyDescent="0.25">
      <c r="A812" s="1" t="s">
        <v>899</v>
      </c>
      <c r="B812" s="1" t="s">
        <v>18</v>
      </c>
      <c r="C812" s="1" t="s">
        <v>27</v>
      </c>
      <c r="D812" s="1" t="s">
        <v>20</v>
      </c>
      <c r="E812" s="1" t="s">
        <v>29</v>
      </c>
      <c r="F812" s="1"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row>
    <row r="813" spans="1:17" ht="12.5" x14ac:dyDescent="0.25">
      <c r="A813" s="1" t="s">
        <v>900</v>
      </c>
      <c r="B813" s="1" t="s">
        <v>18</v>
      </c>
      <c r="C813" s="1" t="s">
        <v>27</v>
      </c>
      <c r="D813" s="1" t="s">
        <v>20</v>
      </c>
      <c r="E813" s="1" t="s">
        <v>21</v>
      </c>
      <c r="F813" s="1"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row>
    <row r="814" spans="1:17" ht="12.5" x14ac:dyDescent="0.25">
      <c r="A814" s="1" t="s">
        <v>901</v>
      </c>
      <c r="B814" s="1" t="s">
        <v>33</v>
      </c>
      <c r="C814" s="1" t="s">
        <v>27</v>
      </c>
      <c r="D814" s="1" t="s">
        <v>20</v>
      </c>
      <c r="E814" s="1" t="s">
        <v>21</v>
      </c>
      <c r="F814" s="1"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row>
    <row r="815" spans="1:17" ht="12.5" x14ac:dyDescent="0.25">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ht="12.5" x14ac:dyDescent="0.25">
      <c r="A816" s="1" t="s">
        <v>903</v>
      </c>
      <c r="B816" s="1" t="s">
        <v>18</v>
      </c>
      <c r="C816" s="1" t="s">
        <v>27</v>
      </c>
      <c r="D816" s="1" t="s">
        <v>28</v>
      </c>
      <c r="E816" s="1" t="s">
        <v>29</v>
      </c>
      <c r="F816" s="1" t="s">
        <v>55</v>
      </c>
      <c r="G816" s="1">
        <v>35.68</v>
      </c>
      <c r="H816" s="1">
        <v>5</v>
      </c>
      <c r="I816" s="1">
        <v>8.92</v>
      </c>
      <c r="J816" s="1">
        <v>187.32</v>
      </c>
      <c r="K816" s="4">
        <v>43618</v>
      </c>
      <c r="L816" s="3">
        <v>0.7729166666666667</v>
      </c>
      <c r="M816" s="1" t="s">
        <v>48</v>
      </c>
      <c r="N816" s="1">
        <v>178.4</v>
      </c>
      <c r="O816" s="1">
        <v>4.7619047620000003</v>
      </c>
      <c r="P816" s="1">
        <v>8.92</v>
      </c>
      <c r="Q816" s="1">
        <v>6.6</v>
      </c>
    </row>
    <row r="817" spans="1:17" ht="12.5" x14ac:dyDescent="0.25">
      <c r="A817" s="1" t="s">
        <v>904</v>
      </c>
      <c r="B817" s="1" t="s">
        <v>54</v>
      </c>
      <c r="C817" s="1" t="s">
        <v>25</v>
      </c>
      <c r="D817" s="1" t="s">
        <v>28</v>
      </c>
      <c r="E817" s="1" t="s">
        <v>21</v>
      </c>
      <c r="F817" s="1"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row>
    <row r="818" spans="1:17" ht="12.5" x14ac:dyDescent="0.25">
      <c r="A818" s="1" t="s">
        <v>905</v>
      </c>
      <c r="B818" s="1" t="s">
        <v>18</v>
      </c>
      <c r="C818" s="1" t="s">
        <v>25</v>
      </c>
      <c r="D818" s="1" t="s">
        <v>28</v>
      </c>
      <c r="E818" s="1" t="s">
        <v>29</v>
      </c>
      <c r="F818" s="1"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row>
    <row r="819" spans="1:17" ht="12.5" x14ac:dyDescent="0.25">
      <c r="A819" s="1" t="s">
        <v>906</v>
      </c>
      <c r="B819" s="1" t="s">
        <v>33</v>
      </c>
      <c r="C819" s="1" t="s">
        <v>25</v>
      </c>
      <c r="D819" s="1" t="s">
        <v>28</v>
      </c>
      <c r="E819" s="1" t="s">
        <v>21</v>
      </c>
      <c r="F819" s="1"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row>
    <row r="820" spans="1:17" ht="12.5" x14ac:dyDescent="0.25">
      <c r="A820" s="1" t="s">
        <v>907</v>
      </c>
      <c r="B820" s="1" t="s">
        <v>18</v>
      </c>
      <c r="C820" s="1" t="s">
        <v>25</v>
      </c>
      <c r="D820" s="1" t="s">
        <v>28</v>
      </c>
      <c r="E820" s="1" t="s">
        <v>21</v>
      </c>
      <c r="F820" s="1"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row>
    <row r="821" spans="1:17" ht="12.5" x14ac:dyDescent="0.25">
      <c r="A821" s="1" t="s">
        <v>908</v>
      </c>
      <c r="B821" s="1" t="s">
        <v>18</v>
      </c>
      <c r="C821" s="1" t="s">
        <v>19</v>
      </c>
      <c r="D821" s="1" t="s">
        <v>20</v>
      </c>
      <c r="E821" s="1" t="s">
        <v>21</v>
      </c>
      <c r="F821" s="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row>
    <row r="822" spans="1:17" ht="12.5" x14ac:dyDescent="0.25">
      <c r="A822" s="1" t="s">
        <v>909</v>
      </c>
      <c r="B822" s="1" t="s">
        <v>18</v>
      </c>
      <c r="C822" s="1" t="s">
        <v>19</v>
      </c>
      <c r="D822" s="1" t="s">
        <v>20</v>
      </c>
      <c r="E822" s="1" t="s">
        <v>21</v>
      </c>
      <c r="F822" s="1"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row>
    <row r="823" spans="1:17" ht="12.5" x14ac:dyDescent="0.25">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ht="12.5" x14ac:dyDescent="0.25">
      <c r="A824" s="1" t="s">
        <v>911</v>
      </c>
      <c r="B824" s="1" t="s">
        <v>33</v>
      </c>
      <c r="C824" s="1" t="s">
        <v>27</v>
      </c>
      <c r="D824" s="1" t="s">
        <v>20</v>
      </c>
      <c r="E824" s="1" t="s">
        <v>21</v>
      </c>
      <c r="F824" s="1"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row>
    <row r="825" spans="1:17" ht="12.5" x14ac:dyDescent="0.25">
      <c r="A825" s="1" t="s">
        <v>912</v>
      </c>
      <c r="B825" s="1" t="s">
        <v>54</v>
      </c>
      <c r="C825" s="1" t="s">
        <v>25</v>
      </c>
      <c r="D825" s="1" t="s">
        <v>20</v>
      </c>
      <c r="E825" s="1" t="s">
        <v>21</v>
      </c>
      <c r="F825" s="1"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row>
    <row r="826" spans="1:17" ht="12.5" x14ac:dyDescent="0.25">
      <c r="A826" s="1" t="s">
        <v>913</v>
      </c>
      <c r="B826" s="1" t="s">
        <v>18</v>
      </c>
      <c r="C826" s="1" t="s">
        <v>27</v>
      </c>
      <c r="D826" s="1" t="s">
        <v>20</v>
      </c>
      <c r="E826" s="1" t="s">
        <v>21</v>
      </c>
      <c r="F826" s="1"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row>
    <row r="827" spans="1:17" ht="12.5" x14ac:dyDescent="0.25">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ht="12.5" x14ac:dyDescent="0.25">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ht="12.5" x14ac:dyDescent="0.25">
      <c r="A829" s="1" t="s">
        <v>916</v>
      </c>
      <c r="B829" s="1" t="s">
        <v>18</v>
      </c>
      <c r="C829" s="1" t="s">
        <v>19</v>
      </c>
      <c r="D829" s="1" t="s">
        <v>28</v>
      </c>
      <c r="E829" s="1" t="s">
        <v>29</v>
      </c>
      <c r="F829" s="1"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row>
    <row r="830" spans="1:17" ht="12.5" x14ac:dyDescent="0.25">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ht="12.5" x14ac:dyDescent="0.25">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ht="12.5" x14ac:dyDescent="0.25">
      <c r="A832" s="1" t="s">
        <v>919</v>
      </c>
      <c r="B832" s="1" t="s">
        <v>18</v>
      </c>
      <c r="C832" s="1" t="s">
        <v>19</v>
      </c>
      <c r="D832" s="1" t="s">
        <v>28</v>
      </c>
      <c r="E832" s="1" t="s">
        <v>21</v>
      </c>
      <c r="F832" s="1"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row>
    <row r="833" spans="1:17" ht="12.5" x14ac:dyDescent="0.25">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ht="12.5" x14ac:dyDescent="0.25">
      <c r="A834" s="1" t="s">
        <v>921</v>
      </c>
      <c r="B834" s="1" t="s">
        <v>54</v>
      </c>
      <c r="C834" s="1" t="s">
        <v>25</v>
      </c>
      <c r="D834" s="1" t="s">
        <v>20</v>
      </c>
      <c r="E834" s="1" t="s">
        <v>29</v>
      </c>
      <c r="F834" s="1"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row>
    <row r="835" spans="1:17" ht="12.5" x14ac:dyDescent="0.25">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ht="12.5" x14ac:dyDescent="0.25">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ht="12.5" x14ac:dyDescent="0.25">
      <c r="A837" s="1" t="s">
        <v>924</v>
      </c>
      <c r="B837" s="1" t="s">
        <v>54</v>
      </c>
      <c r="C837" s="1" t="s">
        <v>25</v>
      </c>
      <c r="D837" s="1" t="s">
        <v>28</v>
      </c>
      <c r="E837" s="1" t="s">
        <v>21</v>
      </c>
      <c r="F837" s="1"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row>
    <row r="838" spans="1:17" ht="12.5" x14ac:dyDescent="0.25">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ht="12.5" x14ac:dyDescent="0.25">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ht="12.5" x14ac:dyDescent="0.25">
      <c r="A840" s="1" t="s">
        <v>927</v>
      </c>
      <c r="B840" s="1" t="s">
        <v>18</v>
      </c>
      <c r="C840" s="1" t="s">
        <v>19</v>
      </c>
      <c r="D840" s="1" t="s">
        <v>28</v>
      </c>
      <c r="E840" s="1" t="s">
        <v>21</v>
      </c>
      <c r="F840" s="1"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row>
    <row r="841" spans="1:17" ht="12.5" x14ac:dyDescent="0.25">
      <c r="A841" s="1" t="s">
        <v>928</v>
      </c>
      <c r="B841" s="1" t="s">
        <v>18</v>
      </c>
      <c r="C841" s="1" t="s">
        <v>19</v>
      </c>
      <c r="D841" s="1" t="s">
        <v>28</v>
      </c>
      <c r="E841" s="1" t="s">
        <v>21</v>
      </c>
      <c r="F841" s="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row>
    <row r="842" spans="1:17" ht="12.5" x14ac:dyDescent="0.25">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ht="12.5" x14ac:dyDescent="0.25">
      <c r="A843" s="1" t="s">
        <v>930</v>
      </c>
      <c r="B843" s="1" t="s">
        <v>18</v>
      </c>
      <c r="C843" s="1" t="s">
        <v>27</v>
      </c>
      <c r="D843" s="1" t="s">
        <v>28</v>
      </c>
      <c r="E843" s="1" t="s">
        <v>21</v>
      </c>
      <c r="F843" s="1"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row>
    <row r="844" spans="1:17" ht="12.5" x14ac:dyDescent="0.25">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ht="12.5" x14ac:dyDescent="0.25">
      <c r="A845" s="1" t="s">
        <v>932</v>
      </c>
      <c r="B845" s="1" t="s">
        <v>18</v>
      </c>
      <c r="C845" s="1" t="s">
        <v>27</v>
      </c>
      <c r="D845" s="1" t="s">
        <v>28</v>
      </c>
      <c r="E845" s="1" t="s">
        <v>21</v>
      </c>
      <c r="F845" s="1"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row>
    <row r="846" spans="1:17" ht="12.5" x14ac:dyDescent="0.25">
      <c r="A846" s="1" t="s">
        <v>933</v>
      </c>
      <c r="B846" s="1" t="s">
        <v>54</v>
      </c>
      <c r="C846" s="1" t="s">
        <v>25</v>
      </c>
      <c r="D846" s="1" t="s">
        <v>20</v>
      </c>
      <c r="E846" s="1" t="s">
        <v>21</v>
      </c>
      <c r="F846" s="1"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row>
    <row r="847" spans="1:17" ht="12.5" x14ac:dyDescent="0.25">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ht="12.5" x14ac:dyDescent="0.25">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ht="12.5" x14ac:dyDescent="0.25">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ht="12.5" x14ac:dyDescent="0.25">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ht="12.5" x14ac:dyDescent="0.25">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ht="12.5" x14ac:dyDescent="0.25">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ht="12.5" x14ac:dyDescent="0.25">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ht="12.5" x14ac:dyDescent="0.25">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ht="12.5" x14ac:dyDescent="0.25">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ht="12.5" x14ac:dyDescent="0.25">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ht="12.5" x14ac:dyDescent="0.25">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ht="12.5" x14ac:dyDescent="0.25">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ht="12.5" x14ac:dyDescent="0.25">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ht="12.5" x14ac:dyDescent="0.25">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ht="12.5" x14ac:dyDescent="0.25">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ht="12.5" x14ac:dyDescent="0.25">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ht="12.5" x14ac:dyDescent="0.25">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ht="12.5" x14ac:dyDescent="0.25">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ht="12.5" x14ac:dyDescent="0.25">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ht="12.5" x14ac:dyDescent="0.25">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ht="12.5" x14ac:dyDescent="0.25">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ht="12.5" x14ac:dyDescent="0.25">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ht="12.5" x14ac:dyDescent="0.25">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ht="12.5" x14ac:dyDescent="0.25">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ht="12.5" x14ac:dyDescent="0.25">
      <c r="A871" s="1" t="s">
        <v>958</v>
      </c>
      <c r="B871" s="1" t="s">
        <v>33</v>
      </c>
      <c r="C871" s="1" t="s">
        <v>25</v>
      </c>
      <c r="D871" s="1" t="s">
        <v>28</v>
      </c>
      <c r="E871" s="1" t="s">
        <v>29</v>
      </c>
      <c r="F871" s="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row>
    <row r="872" spans="1:17" ht="12.5" x14ac:dyDescent="0.25">
      <c r="A872" s="1" t="s">
        <v>959</v>
      </c>
      <c r="B872" s="1" t="s">
        <v>33</v>
      </c>
      <c r="C872" s="1" t="s">
        <v>25</v>
      </c>
      <c r="D872" s="1" t="s">
        <v>20</v>
      </c>
      <c r="E872" s="1" t="s">
        <v>21</v>
      </c>
      <c r="F872" s="1"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row>
    <row r="873" spans="1:17" ht="12.5" x14ac:dyDescent="0.25">
      <c r="A873" s="1" t="s">
        <v>960</v>
      </c>
      <c r="B873" s="1" t="s">
        <v>33</v>
      </c>
      <c r="C873" s="1" t="s">
        <v>25</v>
      </c>
      <c r="D873" s="1" t="s">
        <v>20</v>
      </c>
      <c r="E873" s="1" t="s">
        <v>21</v>
      </c>
      <c r="F873" s="1"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row>
    <row r="874" spans="1:17" ht="12.5" x14ac:dyDescent="0.25">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ht="12.5" x14ac:dyDescent="0.25">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ht="12.5" x14ac:dyDescent="0.25">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ht="12.5" x14ac:dyDescent="0.25">
      <c r="A877" s="1" t="s">
        <v>964</v>
      </c>
      <c r="B877" s="1" t="s">
        <v>33</v>
      </c>
      <c r="C877" s="1" t="s">
        <v>25</v>
      </c>
      <c r="D877" s="1" t="s">
        <v>20</v>
      </c>
      <c r="E877" s="1" t="s">
        <v>21</v>
      </c>
      <c r="F877" s="1"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row>
    <row r="878" spans="1:17" ht="12.5" x14ac:dyDescent="0.25">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ht="12.5" x14ac:dyDescent="0.25">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ht="12.5" x14ac:dyDescent="0.25">
      <c r="A880" s="1" t="s">
        <v>967</v>
      </c>
      <c r="B880" s="1" t="s">
        <v>33</v>
      </c>
      <c r="C880" s="1" t="s">
        <v>25</v>
      </c>
      <c r="D880" s="1" t="s">
        <v>20</v>
      </c>
      <c r="E880" s="1" t="s">
        <v>21</v>
      </c>
      <c r="F880" s="1"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row>
    <row r="881" spans="1:17" ht="12.5" x14ac:dyDescent="0.25">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ht="12.5" x14ac:dyDescent="0.25">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ht="12.5" x14ac:dyDescent="0.25">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ht="12.5" x14ac:dyDescent="0.25">
      <c r="A884" s="1" t="s">
        <v>971</v>
      </c>
      <c r="B884" s="1" t="s">
        <v>33</v>
      </c>
      <c r="C884" s="1" t="s">
        <v>27</v>
      </c>
      <c r="D884" s="1" t="s">
        <v>28</v>
      </c>
      <c r="E884" s="1" t="s">
        <v>29</v>
      </c>
      <c r="F884" s="1"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row>
    <row r="885" spans="1:17" ht="12.5" x14ac:dyDescent="0.25">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ht="12.5" x14ac:dyDescent="0.25">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ht="12.5" x14ac:dyDescent="0.25">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ht="12.5" x14ac:dyDescent="0.25">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ht="12.5" x14ac:dyDescent="0.25">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ht="12.5" x14ac:dyDescent="0.25">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ht="12.5" x14ac:dyDescent="0.25">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ht="12.5" x14ac:dyDescent="0.25">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ht="12.5" x14ac:dyDescent="0.25">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ht="12.5" x14ac:dyDescent="0.25">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ht="12.5" x14ac:dyDescent="0.25">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ht="12.5" x14ac:dyDescent="0.25">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ht="12.5" x14ac:dyDescent="0.25">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ht="12.5" x14ac:dyDescent="0.25">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ht="12.5" x14ac:dyDescent="0.25">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ht="12.5" x14ac:dyDescent="0.25">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ht="12.5" x14ac:dyDescent="0.25">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ht="12.5" x14ac:dyDescent="0.25">
      <c r="A902" s="1" t="s">
        <v>989</v>
      </c>
      <c r="B902" s="1" t="s">
        <v>54</v>
      </c>
      <c r="C902" s="1" t="s">
        <v>25</v>
      </c>
      <c r="D902" s="1" t="s">
        <v>28</v>
      </c>
      <c r="E902" s="1" t="s">
        <v>21</v>
      </c>
      <c r="F902" s="1"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row>
    <row r="903" spans="1:17" ht="12.5" x14ac:dyDescent="0.25">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ht="12.5" x14ac:dyDescent="0.25">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ht="12.5" x14ac:dyDescent="0.25">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ht="12.5" x14ac:dyDescent="0.25">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ht="12.5" x14ac:dyDescent="0.25">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ht="12.5" x14ac:dyDescent="0.25">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ht="12.5" x14ac:dyDescent="0.25">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ht="12.5" x14ac:dyDescent="0.25">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ht="12.5" x14ac:dyDescent="0.25">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ht="12.5" x14ac:dyDescent="0.25">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ht="12.5" x14ac:dyDescent="0.25">
      <c r="A913" s="1" t="s">
        <v>1000</v>
      </c>
      <c r="B913" s="1" t="s">
        <v>18</v>
      </c>
      <c r="C913" s="1" t="s">
        <v>25</v>
      </c>
      <c r="D913" s="1" t="s">
        <v>28</v>
      </c>
      <c r="E913" s="1" t="s">
        <v>21</v>
      </c>
      <c r="F913" s="1"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row>
    <row r="914" spans="1:17" ht="12.5" x14ac:dyDescent="0.25">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ht="12.5" x14ac:dyDescent="0.25">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ht="12.5" x14ac:dyDescent="0.25">
      <c r="A916" s="1" t="s">
        <v>1003</v>
      </c>
      <c r="B916" s="1" t="s">
        <v>18</v>
      </c>
      <c r="C916" s="1" t="s">
        <v>25</v>
      </c>
      <c r="D916" s="1" t="s">
        <v>28</v>
      </c>
      <c r="E916" s="1" t="s">
        <v>21</v>
      </c>
      <c r="F916" s="1"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row>
    <row r="917" spans="1:17" ht="12.5" x14ac:dyDescent="0.25">
      <c r="A917" s="1" t="s">
        <v>1004</v>
      </c>
      <c r="B917" s="1" t="s">
        <v>18</v>
      </c>
      <c r="C917" s="1" t="s">
        <v>25</v>
      </c>
      <c r="D917" s="1" t="s">
        <v>28</v>
      </c>
      <c r="E917" s="1" t="s">
        <v>21</v>
      </c>
      <c r="F917" s="1"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row>
    <row r="918" spans="1:17" ht="12.5" x14ac:dyDescent="0.25">
      <c r="A918" s="1" t="s">
        <v>1005</v>
      </c>
      <c r="B918" s="1" t="s">
        <v>18</v>
      </c>
      <c r="C918" s="1" t="s">
        <v>25</v>
      </c>
      <c r="D918" s="1" t="s">
        <v>28</v>
      </c>
      <c r="E918" s="1" t="s">
        <v>21</v>
      </c>
      <c r="F918" s="1"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row>
    <row r="919" spans="1:17" ht="12.5" x14ac:dyDescent="0.25">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ht="12.5" x14ac:dyDescent="0.25">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ht="12.5" x14ac:dyDescent="0.25">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ht="12.5" x14ac:dyDescent="0.25">
      <c r="A922" s="1" t="s">
        <v>1009</v>
      </c>
      <c r="B922" s="1" t="s">
        <v>33</v>
      </c>
      <c r="C922" s="1" t="s">
        <v>25</v>
      </c>
      <c r="D922" s="1" t="s">
        <v>28</v>
      </c>
      <c r="E922" s="1" t="s">
        <v>29</v>
      </c>
      <c r="F922" s="1"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row>
    <row r="923" spans="1:17" ht="12.5" x14ac:dyDescent="0.25">
      <c r="A923" s="1" t="s">
        <v>1010</v>
      </c>
      <c r="B923" s="1" t="s">
        <v>33</v>
      </c>
      <c r="C923" s="1" t="s">
        <v>27</v>
      </c>
      <c r="D923" s="1" t="s">
        <v>28</v>
      </c>
      <c r="E923" s="1" t="s">
        <v>21</v>
      </c>
      <c r="F923" s="1"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row>
    <row r="924" spans="1:17" ht="12.5" x14ac:dyDescent="0.25">
      <c r="A924" s="1" t="s">
        <v>1011</v>
      </c>
      <c r="B924" s="1" t="s">
        <v>33</v>
      </c>
      <c r="C924" s="1" t="s">
        <v>19</v>
      </c>
      <c r="D924" s="1" t="s">
        <v>28</v>
      </c>
      <c r="E924" s="1" t="s">
        <v>21</v>
      </c>
      <c r="F924" s="1"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row>
    <row r="925" spans="1:17" ht="12.5" x14ac:dyDescent="0.25">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ht="12.5" x14ac:dyDescent="0.25">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ht="12.5" x14ac:dyDescent="0.25">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ht="12.5" x14ac:dyDescent="0.25">
      <c r="A928" s="1" t="s">
        <v>1015</v>
      </c>
      <c r="B928" s="1" t="s">
        <v>18</v>
      </c>
      <c r="C928" s="1" t="s">
        <v>25</v>
      </c>
      <c r="D928" s="1" t="s">
        <v>20</v>
      </c>
      <c r="E928" s="1" t="s">
        <v>29</v>
      </c>
      <c r="F928" s="1" t="s">
        <v>55</v>
      </c>
      <c r="G928" s="1">
        <v>25.32</v>
      </c>
      <c r="H928" s="1">
        <v>8</v>
      </c>
      <c r="I928" s="1">
        <v>10.128</v>
      </c>
      <c r="J928" s="1">
        <v>212.68799999999999</v>
      </c>
      <c r="K928" s="4">
        <v>43588</v>
      </c>
      <c r="L928" s="3">
        <v>0.85</v>
      </c>
      <c r="M928" s="1" t="s">
        <v>23</v>
      </c>
      <c r="N928" s="1">
        <v>202.56</v>
      </c>
      <c r="O928" s="1">
        <v>4.7619047620000003</v>
      </c>
      <c r="P928" s="1">
        <v>10.128</v>
      </c>
      <c r="Q928" s="1">
        <v>8.6999999999999993</v>
      </c>
    </row>
    <row r="929" spans="1:17" ht="12.5" x14ac:dyDescent="0.25">
      <c r="A929" s="1" t="s">
        <v>1016</v>
      </c>
      <c r="B929" s="1" t="s">
        <v>18</v>
      </c>
      <c r="C929" s="1" t="s">
        <v>25</v>
      </c>
      <c r="D929" s="1" t="s">
        <v>20</v>
      </c>
      <c r="E929" s="1" t="s">
        <v>29</v>
      </c>
      <c r="F929" s="1" t="s">
        <v>55</v>
      </c>
      <c r="G929" s="1">
        <v>25.32</v>
      </c>
      <c r="H929" s="1">
        <v>8</v>
      </c>
      <c r="I929" s="1">
        <v>10.128</v>
      </c>
      <c r="J929" s="1">
        <v>212.68799999999999</v>
      </c>
      <c r="K929" s="4">
        <v>43588</v>
      </c>
      <c r="L929" s="3">
        <v>0.85</v>
      </c>
      <c r="M929" s="1" t="s">
        <v>23</v>
      </c>
      <c r="N929" s="1">
        <v>202.56</v>
      </c>
      <c r="O929" s="1">
        <v>4.7619047620000003</v>
      </c>
      <c r="P929" s="1">
        <v>10.128</v>
      </c>
      <c r="Q929" s="1">
        <v>8.5</v>
      </c>
    </row>
    <row r="930" spans="1:17" ht="12.5" x14ac:dyDescent="0.25">
      <c r="A930" s="1" t="s">
        <v>1017</v>
      </c>
      <c r="B930" s="1" t="s">
        <v>18</v>
      </c>
      <c r="C930" s="1" t="s">
        <v>19</v>
      </c>
      <c r="D930" s="1" t="s">
        <v>28</v>
      </c>
      <c r="E930" s="1" t="s">
        <v>21</v>
      </c>
      <c r="F930" s="1"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row>
    <row r="931" spans="1:17" ht="12.5" x14ac:dyDescent="0.25">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ht="12.5" x14ac:dyDescent="0.25">
      <c r="A932" s="1" t="s">
        <v>1019</v>
      </c>
      <c r="B932" s="1" t="s">
        <v>18</v>
      </c>
      <c r="C932" s="1" t="s">
        <v>19</v>
      </c>
      <c r="D932" s="1" t="s">
        <v>28</v>
      </c>
      <c r="E932" s="1" t="s">
        <v>21</v>
      </c>
      <c r="F932" s="1"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row>
    <row r="933" spans="1:17" ht="12.5" x14ac:dyDescent="0.25">
      <c r="A933" s="1" t="s">
        <v>1020</v>
      </c>
      <c r="B933" s="1" t="s">
        <v>18</v>
      </c>
      <c r="C933" s="1" t="s">
        <v>27</v>
      </c>
      <c r="D933" s="1" t="s">
        <v>28</v>
      </c>
      <c r="E933" s="1" t="s">
        <v>21</v>
      </c>
      <c r="F933" s="1" t="s">
        <v>55</v>
      </c>
      <c r="G933" s="1">
        <v>28.95</v>
      </c>
      <c r="H933" s="1">
        <v>7</v>
      </c>
      <c r="I933" s="1">
        <v>10.1325</v>
      </c>
      <c r="J933" s="1">
        <v>212.7825</v>
      </c>
      <c r="K933" s="4">
        <v>43527</v>
      </c>
      <c r="L933" s="3">
        <v>0.85486111111111107</v>
      </c>
      <c r="M933" s="1" t="s">
        <v>23</v>
      </c>
      <c r="N933" s="1">
        <v>202.65</v>
      </c>
      <c r="O933" s="1">
        <v>4.7619047620000003</v>
      </c>
      <c r="P933" s="1">
        <v>10.1325</v>
      </c>
      <c r="Q933" s="1">
        <v>6</v>
      </c>
    </row>
    <row r="934" spans="1:17" ht="12.5" x14ac:dyDescent="0.25">
      <c r="A934" s="1" t="s">
        <v>1021</v>
      </c>
      <c r="B934" s="1" t="s">
        <v>18</v>
      </c>
      <c r="C934" s="1" t="s">
        <v>27</v>
      </c>
      <c r="D934" s="1" t="s">
        <v>28</v>
      </c>
      <c r="E934" s="1" t="s">
        <v>21</v>
      </c>
      <c r="F934" s="1" t="s">
        <v>55</v>
      </c>
      <c r="G934" s="1">
        <v>28.95</v>
      </c>
      <c r="H934" s="1">
        <v>7</v>
      </c>
      <c r="I934" s="1">
        <v>10.1325</v>
      </c>
      <c r="J934" s="1">
        <v>212.7825</v>
      </c>
      <c r="K934" s="4">
        <v>43527</v>
      </c>
      <c r="L934" s="3">
        <v>0.85486111111111107</v>
      </c>
      <c r="M934" s="1" t="s">
        <v>23</v>
      </c>
      <c r="N934" s="1">
        <v>202.65</v>
      </c>
      <c r="O934" s="1">
        <v>4.7619047620000003</v>
      </c>
      <c r="P934" s="1">
        <v>10.1325</v>
      </c>
      <c r="Q934" s="1">
        <v>8.6999999999999993</v>
      </c>
    </row>
    <row r="935" spans="1:17" ht="12.5" x14ac:dyDescent="0.25">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ht="12.5" x14ac:dyDescent="0.25">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ht="12.5" x14ac:dyDescent="0.25">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ht="12.5" x14ac:dyDescent="0.25">
      <c r="A938" s="1" t="s">
        <v>1025</v>
      </c>
      <c r="B938" s="1" t="s">
        <v>18</v>
      </c>
      <c r="C938" s="1" t="s">
        <v>27</v>
      </c>
      <c r="D938" s="1" t="s">
        <v>28</v>
      </c>
      <c r="E938" s="1" t="s">
        <v>21</v>
      </c>
      <c r="F938" s="1"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row>
    <row r="939" spans="1:17" ht="12.5" x14ac:dyDescent="0.25">
      <c r="A939" s="1" t="s">
        <v>1026</v>
      </c>
      <c r="B939" s="1" t="s">
        <v>18</v>
      </c>
      <c r="C939" s="1" t="s">
        <v>27</v>
      </c>
      <c r="D939" s="1" t="s">
        <v>28</v>
      </c>
      <c r="E939" s="1" t="s">
        <v>21</v>
      </c>
      <c r="F939" s="1"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row>
    <row r="940" spans="1:17" ht="12.5" x14ac:dyDescent="0.25">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ht="12.5" x14ac:dyDescent="0.25">
      <c r="A941" s="1" t="s">
        <v>1028</v>
      </c>
      <c r="B941" s="1" t="s">
        <v>18</v>
      </c>
      <c r="C941" s="1" t="s">
        <v>25</v>
      </c>
      <c r="D941" s="1" t="s">
        <v>28</v>
      </c>
      <c r="E941" s="1" t="s">
        <v>29</v>
      </c>
      <c r="F941" s="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row>
    <row r="942" spans="1:17" ht="12.5" x14ac:dyDescent="0.25">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ht="12.5" x14ac:dyDescent="0.25">
      <c r="A943" s="1" t="s">
        <v>1030</v>
      </c>
      <c r="B943" s="1" t="s">
        <v>18</v>
      </c>
      <c r="C943" s="1" t="s">
        <v>19</v>
      </c>
      <c r="D943" s="1" t="s">
        <v>28</v>
      </c>
      <c r="E943" s="1" t="s">
        <v>29</v>
      </c>
      <c r="F943" s="1"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row>
    <row r="944" spans="1:17" ht="12.5" x14ac:dyDescent="0.25">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ht="12.5" x14ac:dyDescent="0.25">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ht="12.5" x14ac:dyDescent="0.25">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ht="12.5" x14ac:dyDescent="0.25">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ht="12.5" x14ac:dyDescent="0.25">
      <c r="A948" s="1" t="s">
        <v>1035</v>
      </c>
      <c r="B948" s="1" t="s">
        <v>33</v>
      </c>
      <c r="C948" s="1" t="s">
        <v>25</v>
      </c>
      <c r="D948" s="1" t="s">
        <v>28</v>
      </c>
      <c r="E948" s="1" t="s">
        <v>29</v>
      </c>
      <c r="F948" s="1"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row>
    <row r="949" spans="1:17" ht="12.5" x14ac:dyDescent="0.25">
      <c r="A949" s="1" t="s">
        <v>1036</v>
      </c>
      <c r="B949" s="1" t="s">
        <v>33</v>
      </c>
      <c r="C949" s="1" t="s">
        <v>25</v>
      </c>
      <c r="D949" s="1" t="s">
        <v>28</v>
      </c>
      <c r="E949" s="1" t="s">
        <v>29</v>
      </c>
      <c r="F949" s="1"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row>
    <row r="950" spans="1:17" ht="12.5" x14ac:dyDescent="0.25">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ht="12.5" x14ac:dyDescent="0.25">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ht="12.5" x14ac:dyDescent="0.25">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ht="12.5" x14ac:dyDescent="0.25">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ht="12.5" x14ac:dyDescent="0.25">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ht="12.5" x14ac:dyDescent="0.25">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ht="12.5" x14ac:dyDescent="0.25">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ht="12.5" x14ac:dyDescent="0.25">
      <c r="A957" s="1" t="s">
        <v>1044</v>
      </c>
      <c r="B957" s="1" t="s">
        <v>18</v>
      </c>
      <c r="C957" s="1" t="s">
        <v>27</v>
      </c>
      <c r="D957" s="1" t="s">
        <v>28</v>
      </c>
      <c r="E957" s="1" t="s">
        <v>21</v>
      </c>
      <c r="F957" s="1"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row>
    <row r="958" spans="1:17" ht="12.5" x14ac:dyDescent="0.25">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ht="12.5" x14ac:dyDescent="0.25">
      <c r="A959" s="1" t="s">
        <v>1046</v>
      </c>
      <c r="B959" s="1" t="s">
        <v>33</v>
      </c>
      <c r="C959" s="1" t="s">
        <v>27</v>
      </c>
      <c r="D959" s="1" t="s">
        <v>28</v>
      </c>
      <c r="E959" s="1" t="s">
        <v>21</v>
      </c>
      <c r="F959" s="1" t="s">
        <v>55</v>
      </c>
      <c r="G959" s="1">
        <v>23.03</v>
      </c>
      <c r="H959" s="1">
        <v>9</v>
      </c>
      <c r="I959" s="1">
        <v>10.3635</v>
      </c>
      <c r="J959" s="1">
        <v>217.6335</v>
      </c>
      <c r="K959" s="4">
        <v>43525</v>
      </c>
      <c r="L959" s="3">
        <v>0.50138888888888888</v>
      </c>
      <c r="M959" s="1" t="s">
        <v>40</v>
      </c>
      <c r="N959" s="1">
        <v>207.27</v>
      </c>
      <c r="O959" s="1">
        <v>4.7619047620000003</v>
      </c>
      <c r="P959" s="1">
        <v>10.3635</v>
      </c>
      <c r="Q959" s="1">
        <v>7.9</v>
      </c>
    </row>
    <row r="960" spans="1:17" ht="12.5" x14ac:dyDescent="0.25">
      <c r="A960" s="1" t="s">
        <v>1047</v>
      </c>
      <c r="B960" s="1" t="s">
        <v>54</v>
      </c>
      <c r="C960" s="1" t="s">
        <v>25</v>
      </c>
      <c r="D960" s="1" t="s">
        <v>20</v>
      </c>
      <c r="E960" s="1" t="s">
        <v>21</v>
      </c>
      <c r="F960" s="1" t="s">
        <v>39</v>
      </c>
      <c r="G960" s="1">
        <v>29.61</v>
      </c>
      <c r="H960" s="1">
        <v>7</v>
      </c>
      <c r="I960" s="1">
        <v>10.3635</v>
      </c>
      <c r="J960" s="1">
        <v>217.6335</v>
      </c>
      <c r="K960" s="4">
        <v>43772</v>
      </c>
      <c r="L960" s="3">
        <v>0.66180555555555554</v>
      </c>
      <c r="M960" s="1" t="s">
        <v>23</v>
      </c>
      <c r="N960" s="1">
        <v>207.27</v>
      </c>
      <c r="O960" s="1">
        <v>4.7619047620000003</v>
      </c>
      <c r="P960" s="1">
        <v>10.3635</v>
      </c>
      <c r="Q960" s="1">
        <v>6.5</v>
      </c>
    </row>
    <row r="961" spans="1:17" ht="12.5" x14ac:dyDescent="0.25">
      <c r="A961" s="1" t="s">
        <v>1048</v>
      </c>
      <c r="B961" s="1" t="s">
        <v>18</v>
      </c>
      <c r="C961" s="1" t="s">
        <v>19</v>
      </c>
      <c r="D961" s="1" t="s">
        <v>28</v>
      </c>
      <c r="E961" s="1" t="s">
        <v>21</v>
      </c>
      <c r="F961" s="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row>
    <row r="962" spans="1:17" ht="12.5" x14ac:dyDescent="0.25">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ht="12.5" x14ac:dyDescent="0.25">
      <c r="A963" s="1" t="s">
        <v>1050</v>
      </c>
      <c r="B963" s="1" t="s">
        <v>18</v>
      </c>
      <c r="C963" s="1" t="s">
        <v>25</v>
      </c>
      <c r="D963" s="1" t="s">
        <v>28</v>
      </c>
      <c r="E963" s="1" t="s">
        <v>29</v>
      </c>
      <c r="F963" s="1"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row>
    <row r="964" spans="1:17" ht="12.5" x14ac:dyDescent="0.25">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ht="12.5" x14ac:dyDescent="0.25">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ht="12.5" x14ac:dyDescent="0.25">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ht="12.5" x14ac:dyDescent="0.25">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ht="12.5" x14ac:dyDescent="0.25">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ht="12.5" x14ac:dyDescent="0.25">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ht="12.5" x14ac:dyDescent="0.25">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ht="12.5" x14ac:dyDescent="0.25">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ht="12.5" x14ac:dyDescent="0.25">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ht="12.5" x14ac:dyDescent="0.25">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ht="12.5" x14ac:dyDescent="0.25">
      <c r="A974" s="1" t="s">
        <v>1061</v>
      </c>
      <c r="B974" s="1" t="s">
        <v>18</v>
      </c>
      <c r="C974" s="1" t="s">
        <v>25</v>
      </c>
      <c r="D974" s="1" t="s">
        <v>28</v>
      </c>
      <c r="E974" s="1" t="s">
        <v>29</v>
      </c>
      <c r="F974" s="1"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row>
    <row r="975" spans="1:17" ht="12.5" x14ac:dyDescent="0.25">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ht="12.5" x14ac:dyDescent="0.25">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ht="12.5" x14ac:dyDescent="0.25">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ht="12.5" x14ac:dyDescent="0.25">
      <c r="A978" s="1" t="s">
        <v>1065</v>
      </c>
      <c r="B978" s="1" t="s">
        <v>18</v>
      </c>
      <c r="C978" s="1" t="s">
        <v>27</v>
      </c>
      <c r="D978" s="1" t="s">
        <v>28</v>
      </c>
      <c r="E978" s="1" t="s">
        <v>29</v>
      </c>
      <c r="F978" s="1"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row>
    <row r="979" spans="1:17" ht="12.5" x14ac:dyDescent="0.25">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ht="12.5" x14ac:dyDescent="0.25">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ht="12.5" x14ac:dyDescent="0.25">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ht="12.5" x14ac:dyDescent="0.25">
      <c r="A982" s="1" t="s">
        <v>1069</v>
      </c>
      <c r="B982" s="1" t="s">
        <v>33</v>
      </c>
      <c r="C982" s="1" t="s">
        <v>27</v>
      </c>
      <c r="D982" s="1" t="s">
        <v>28</v>
      </c>
      <c r="E982" s="1" t="s">
        <v>21</v>
      </c>
      <c r="F982" s="1"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row>
    <row r="983" spans="1:17" ht="12.5" x14ac:dyDescent="0.25">
      <c r="A983" s="1" t="s">
        <v>1070</v>
      </c>
      <c r="B983" s="1" t="s">
        <v>18</v>
      </c>
      <c r="C983" s="1" t="s">
        <v>27</v>
      </c>
      <c r="D983" s="1" t="s">
        <v>28</v>
      </c>
      <c r="E983" s="1" t="s">
        <v>29</v>
      </c>
      <c r="F983" s="1"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row>
    <row r="984" spans="1:17" ht="12.5" x14ac:dyDescent="0.25">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ht="12.5" x14ac:dyDescent="0.25">
      <c r="A985" s="1" t="s">
        <v>1072</v>
      </c>
      <c r="B985" s="1" t="s">
        <v>18</v>
      </c>
      <c r="C985" s="1" t="s">
        <v>25</v>
      </c>
      <c r="D985" s="1" t="s">
        <v>20</v>
      </c>
      <c r="E985" s="1" t="s">
        <v>21</v>
      </c>
      <c r="F985" s="1" t="s">
        <v>44</v>
      </c>
      <c r="G985" s="1">
        <v>21.82</v>
      </c>
      <c r="H985" s="1">
        <v>10</v>
      </c>
      <c r="I985" s="1">
        <v>10.91</v>
      </c>
      <c r="J985" s="1">
        <v>229.11</v>
      </c>
      <c r="K985" s="4">
        <v>43647</v>
      </c>
      <c r="L985" s="3">
        <v>0.73333333333333328</v>
      </c>
      <c r="M985" s="1" t="s">
        <v>23</v>
      </c>
      <c r="N985" s="1">
        <v>218.2</v>
      </c>
      <c r="O985" s="1">
        <v>4.7619047620000003</v>
      </c>
      <c r="P985" s="1">
        <v>10.91</v>
      </c>
      <c r="Q985" s="1">
        <v>7.1</v>
      </c>
    </row>
    <row r="986" spans="1:17" ht="12.5" x14ac:dyDescent="0.25">
      <c r="A986" s="1" t="s">
        <v>1073</v>
      </c>
      <c r="B986" s="1" t="s">
        <v>54</v>
      </c>
      <c r="C986" s="1" t="s">
        <v>25</v>
      </c>
      <c r="D986" s="1" t="s">
        <v>28</v>
      </c>
      <c r="E986" s="1" t="s">
        <v>29</v>
      </c>
      <c r="F986" s="1" t="s">
        <v>55</v>
      </c>
      <c r="G986" s="1">
        <v>73.41</v>
      </c>
      <c r="H986" s="1">
        <v>3</v>
      </c>
      <c r="I986" s="1">
        <v>11.0115</v>
      </c>
      <c r="J986" s="1">
        <v>231.2415</v>
      </c>
      <c r="K986" s="4">
        <v>43499</v>
      </c>
      <c r="L986" s="3">
        <v>0.54861111111111116</v>
      </c>
      <c r="M986" s="1" t="s">
        <v>40</v>
      </c>
      <c r="N986" s="1">
        <v>220.23</v>
      </c>
      <c r="O986" s="1">
        <v>4.7619047620000003</v>
      </c>
      <c r="P986" s="1">
        <v>11.0115</v>
      </c>
      <c r="Q986" s="1">
        <v>4</v>
      </c>
    </row>
    <row r="987" spans="1:17" ht="12.5" x14ac:dyDescent="0.25">
      <c r="A987" s="1" t="s">
        <v>1074</v>
      </c>
      <c r="B987" s="1" t="s">
        <v>18</v>
      </c>
      <c r="C987" s="1" t="s">
        <v>19</v>
      </c>
      <c r="D987" s="1" t="s">
        <v>20</v>
      </c>
      <c r="E987" s="1" t="s">
        <v>21</v>
      </c>
      <c r="F987" s="1" t="s">
        <v>30</v>
      </c>
      <c r="G987" s="1">
        <v>44.22</v>
      </c>
      <c r="H987" s="1">
        <v>5</v>
      </c>
      <c r="I987" s="1">
        <v>11.055</v>
      </c>
      <c r="J987" s="1">
        <v>232.155</v>
      </c>
      <c r="K987" s="4">
        <v>43588</v>
      </c>
      <c r="L987" s="3">
        <v>0.71319444444444446</v>
      </c>
      <c r="M987" s="1" t="s">
        <v>48</v>
      </c>
      <c r="N987" s="1">
        <v>221.1</v>
      </c>
      <c r="O987" s="1">
        <v>4.7619047620000003</v>
      </c>
      <c r="P987" s="1">
        <v>11.055</v>
      </c>
      <c r="Q987" s="1">
        <v>8.6</v>
      </c>
    </row>
    <row r="988" spans="1:17" ht="12.5" x14ac:dyDescent="0.25">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ht="12.5" x14ac:dyDescent="0.25">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ht="12.5" x14ac:dyDescent="0.25">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ht="12.5" x14ac:dyDescent="0.25">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ht="12.5" x14ac:dyDescent="0.25">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ht="12.5" x14ac:dyDescent="0.25">
      <c r="A993" s="1" t="s">
        <v>1080</v>
      </c>
      <c r="B993" s="1" t="s">
        <v>33</v>
      </c>
      <c r="C993" s="1" t="s">
        <v>25</v>
      </c>
      <c r="D993" s="1" t="s">
        <v>20</v>
      </c>
      <c r="E993" s="1" t="s">
        <v>21</v>
      </c>
      <c r="F993" s="1" t="s">
        <v>22</v>
      </c>
      <c r="G993" s="1">
        <v>22.24</v>
      </c>
      <c r="H993" s="1">
        <v>10</v>
      </c>
      <c r="I993" s="1">
        <v>11.12</v>
      </c>
      <c r="J993" s="1">
        <v>233.52</v>
      </c>
      <c r="K993" s="4">
        <v>43710</v>
      </c>
      <c r="L993" s="3">
        <v>0.45833333333333331</v>
      </c>
      <c r="M993" s="1" t="s">
        <v>23</v>
      </c>
      <c r="N993" s="1">
        <v>222.4</v>
      </c>
      <c r="O993" s="1">
        <v>4.7619047620000003</v>
      </c>
      <c r="P993" s="1">
        <v>11.12</v>
      </c>
      <c r="Q993" s="1">
        <v>4.2</v>
      </c>
    </row>
    <row r="994" spans="1:17" ht="12.5" x14ac:dyDescent="0.25">
      <c r="A994" s="1" t="s">
        <v>1081</v>
      </c>
      <c r="B994" s="1" t="s">
        <v>18</v>
      </c>
      <c r="C994" s="1" t="s">
        <v>25</v>
      </c>
      <c r="D994" s="1" t="s">
        <v>28</v>
      </c>
      <c r="E994" s="1" t="s">
        <v>21</v>
      </c>
      <c r="F994" s="1" t="s">
        <v>22</v>
      </c>
      <c r="G994" s="1">
        <v>22.24</v>
      </c>
      <c r="H994" s="1">
        <v>10</v>
      </c>
      <c r="I994" s="1">
        <v>11.12</v>
      </c>
      <c r="J994" s="1">
        <v>233.52</v>
      </c>
      <c r="K994" s="4">
        <v>43710</v>
      </c>
      <c r="L994" s="3">
        <v>0.45833333333333331</v>
      </c>
      <c r="M994" s="1" t="s">
        <v>23</v>
      </c>
      <c r="N994" s="1">
        <v>222.4</v>
      </c>
      <c r="O994" s="1">
        <v>4.7619047620000003</v>
      </c>
      <c r="P994" s="1">
        <v>11.12</v>
      </c>
      <c r="Q994" s="1">
        <v>4.2</v>
      </c>
    </row>
    <row r="995" spans="1:17" ht="12.5" x14ac:dyDescent="0.25">
      <c r="A995" s="1" t="s">
        <v>1082</v>
      </c>
      <c r="B995" s="1" t="s">
        <v>18</v>
      </c>
      <c r="C995" s="1" t="s">
        <v>25</v>
      </c>
      <c r="D995" s="1" t="s">
        <v>28</v>
      </c>
      <c r="E995" s="1" t="s">
        <v>21</v>
      </c>
      <c r="F995" s="1" t="s">
        <v>39</v>
      </c>
      <c r="G995" s="1">
        <v>22.24</v>
      </c>
      <c r="H995" s="1">
        <v>10</v>
      </c>
      <c r="I995" s="1">
        <v>11.12</v>
      </c>
      <c r="J995" s="1">
        <v>233.52</v>
      </c>
      <c r="K995" s="4">
        <v>43710</v>
      </c>
      <c r="L995" s="3">
        <v>0.45833333333333331</v>
      </c>
      <c r="M995" s="1" t="s">
        <v>23</v>
      </c>
      <c r="N995" s="1">
        <v>222.4</v>
      </c>
      <c r="O995" s="1">
        <v>4.7619047620000003</v>
      </c>
      <c r="P995" s="1">
        <v>11.12</v>
      </c>
      <c r="Q995" s="1">
        <v>4.2</v>
      </c>
    </row>
    <row r="996" spans="1:17" ht="12.5" x14ac:dyDescent="0.25">
      <c r="A996" s="1" t="s">
        <v>1083</v>
      </c>
      <c r="B996" s="1" t="s">
        <v>33</v>
      </c>
      <c r="C996" s="1" t="s">
        <v>27</v>
      </c>
      <c r="D996" s="1" t="s">
        <v>20</v>
      </c>
      <c r="E996" s="1" t="s">
        <v>21</v>
      </c>
      <c r="F996" s="1"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row>
    <row r="997" spans="1:17" ht="12.5" x14ac:dyDescent="0.25">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ht="12.5" x14ac:dyDescent="0.25">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ht="12.5" x14ac:dyDescent="0.25">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ht="12.5" x14ac:dyDescent="0.25">
      <c r="A1000" s="1" t="s">
        <v>1087</v>
      </c>
      <c r="B1000" s="1" t="s">
        <v>33</v>
      </c>
      <c r="C1000" s="1" t="s">
        <v>27</v>
      </c>
      <c r="D1000" s="1" t="s">
        <v>28</v>
      </c>
      <c r="E1000" s="1" t="s">
        <v>21</v>
      </c>
      <c r="F1000" s="1"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row>
    <row r="1001" spans="1:17" ht="12.5" x14ac:dyDescent="0.25">
      <c r="A1001" s="1" t="s">
        <v>1088</v>
      </c>
      <c r="B1001" s="1" t="s">
        <v>33</v>
      </c>
      <c r="C1001" s="1" t="s">
        <v>27</v>
      </c>
      <c r="D1001" s="1" t="s">
        <v>28</v>
      </c>
      <c r="E1001" s="1" t="s">
        <v>21</v>
      </c>
      <c r="F1001" s="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row>
    <row r="1002" spans="1:17" ht="12.5" x14ac:dyDescent="0.25">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ht="12.5" x14ac:dyDescent="0.25">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ht="12.5" x14ac:dyDescent="0.25">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ht="12.5" x14ac:dyDescent="0.25">
      <c r="A1005" s="1" t="s">
        <v>1092</v>
      </c>
      <c r="B1005" s="1" t="s">
        <v>18</v>
      </c>
      <c r="C1005" s="1" t="s">
        <v>27</v>
      </c>
      <c r="D1005" s="1" t="s">
        <v>20</v>
      </c>
      <c r="E1005" s="1" t="s">
        <v>29</v>
      </c>
      <c r="F1005" s="1"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row>
    <row r="1006" spans="1:17" ht="12.5" x14ac:dyDescent="0.25">
      <c r="A1006" s="1" t="s">
        <v>1093</v>
      </c>
      <c r="B1006" s="1" t="s">
        <v>18</v>
      </c>
      <c r="C1006" s="1" t="s">
        <v>27</v>
      </c>
      <c r="D1006" s="1" t="s">
        <v>20</v>
      </c>
      <c r="E1006" s="1" t="s">
        <v>29</v>
      </c>
      <c r="F1006" s="1"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row>
    <row r="1007" spans="1:17" ht="12.5" x14ac:dyDescent="0.25">
      <c r="A1007" s="1" t="s">
        <v>1094</v>
      </c>
      <c r="B1007" s="1" t="s">
        <v>33</v>
      </c>
      <c r="C1007" s="1" t="s">
        <v>27</v>
      </c>
      <c r="D1007" s="1" t="s">
        <v>20</v>
      </c>
      <c r="E1007" s="1" t="s">
        <v>21</v>
      </c>
      <c r="F1007" s="1" t="s">
        <v>22</v>
      </c>
      <c r="G1007" s="1">
        <v>75.2</v>
      </c>
      <c r="H1007" s="1">
        <v>3</v>
      </c>
      <c r="I1007" s="1">
        <v>11.28</v>
      </c>
      <c r="J1007" s="1">
        <v>236.88</v>
      </c>
      <c r="K1007" s="4">
        <v>43587</v>
      </c>
      <c r="L1007" s="3">
        <v>0.49375000000000002</v>
      </c>
      <c r="M1007" s="1" t="s">
        <v>40</v>
      </c>
      <c r="N1007" s="1">
        <v>225.6</v>
      </c>
      <c r="O1007" s="1">
        <v>4.7619047620000003</v>
      </c>
      <c r="P1007" s="1">
        <v>11.28</v>
      </c>
      <c r="Q1007" s="1">
        <v>4.8</v>
      </c>
    </row>
    <row r="1008" spans="1:17" ht="12.5" x14ac:dyDescent="0.25">
      <c r="A1008" s="1" t="s">
        <v>1095</v>
      </c>
      <c r="B1008" s="1" t="s">
        <v>18</v>
      </c>
      <c r="C1008" s="1" t="s">
        <v>25</v>
      </c>
      <c r="D1008" s="1" t="s">
        <v>20</v>
      </c>
      <c r="E1008" s="1" t="s">
        <v>29</v>
      </c>
      <c r="F1008" s="1" t="s">
        <v>39</v>
      </c>
      <c r="G1008" s="1">
        <v>75.2</v>
      </c>
      <c r="H1008" s="1">
        <v>3</v>
      </c>
      <c r="I1008" s="1">
        <v>11.28</v>
      </c>
      <c r="J1008" s="1">
        <v>236.88</v>
      </c>
      <c r="K1008" s="4">
        <v>43587</v>
      </c>
      <c r="L1008" s="3">
        <v>0.49375000000000002</v>
      </c>
      <c r="M1008" s="1" t="s">
        <v>23</v>
      </c>
      <c r="N1008" s="1">
        <v>225.6</v>
      </c>
      <c r="O1008" s="1">
        <v>4.7619047620000003</v>
      </c>
      <c r="P1008" s="1">
        <v>11.28</v>
      </c>
      <c r="Q1008" s="1">
        <v>4.8</v>
      </c>
    </row>
    <row r="1009" spans="1:17" ht="12.5" x14ac:dyDescent="0.25">
      <c r="A1009" s="1" t="s">
        <v>1096</v>
      </c>
      <c r="B1009" s="1" t="s">
        <v>33</v>
      </c>
      <c r="C1009" s="1" t="s">
        <v>27</v>
      </c>
      <c r="D1009" s="1" t="s">
        <v>20</v>
      </c>
      <c r="E1009" s="1" t="s">
        <v>21</v>
      </c>
      <c r="F1009" s="1" t="s">
        <v>22</v>
      </c>
      <c r="G1009" s="1">
        <v>75.2</v>
      </c>
      <c r="H1009" s="1">
        <v>3</v>
      </c>
      <c r="I1009" s="1">
        <v>11.28</v>
      </c>
      <c r="J1009" s="1">
        <v>236.88</v>
      </c>
      <c r="K1009" s="4">
        <v>43587</v>
      </c>
      <c r="L1009" s="3">
        <v>0.49375000000000002</v>
      </c>
      <c r="M1009" s="1" t="s">
        <v>40</v>
      </c>
      <c r="N1009" s="1">
        <v>225.6</v>
      </c>
      <c r="O1009" s="1">
        <v>4.7619047620000003</v>
      </c>
      <c r="P1009" s="1">
        <v>11.28</v>
      </c>
      <c r="Q1009" s="1">
        <v>9.1</v>
      </c>
    </row>
    <row r="1010" spans="1:17" ht="12.5" x14ac:dyDescent="0.25">
      <c r="A1010" s="1" t="s">
        <v>1097</v>
      </c>
      <c r="B1010" s="1" t="s">
        <v>18</v>
      </c>
      <c r="C1010" s="1" t="s">
        <v>27</v>
      </c>
      <c r="D1010" s="1" t="s">
        <v>28</v>
      </c>
      <c r="E1010" s="1" t="s">
        <v>29</v>
      </c>
      <c r="F1010" s="1"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row>
    <row r="1011" spans="1:17" ht="12.5" x14ac:dyDescent="0.25">
      <c r="A1011" s="1" t="s">
        <v>1098</v>
      </c>
      <c r="B1011" s="1" t="s">
        <v>18</v>
      </c>
      <c r="C1011" s="1" t="s">
        <v>25</v>
      </c>
      <c r="D1011" s="1" t="s">
        <v>20</v>
      </c>
      <c r="E1011" s="1" t="s">
        <v>29</v>
      </c>
      <c r="F1011" s="1" t="s">
        <v>55</v>
      </c>
      <c r="G1011" s="1">
        <v>28.5</v>
      </c>
      <c r="H1011" s="1">
        <v>8</v>
      </c>
      <c r="I1011" s="1">
        <v>11.4</v>
      </c>
      <c r="J1011" s="1">
        <v>239.4</v>
      </c>
      <c r="K1011" s="4">
        <v>43618</v>
      </c>
      <c r="L1011" s="3">
        <v>0.6</v>
      </c>
      <c r="M1011" s="1" t="s">
        <v>23</v>
      </c>
      <c r="N1011" s="1">
        <v>228</v>
      </c>
      <c r="O1011" s="1">
        <v>4.7619047620000003</v>
      </c>
      <c r="P1011" s="1">
        <v>11.4</v>
      </c>
      <c r="Q1011" s="1">
        <v>6.6</v>
      </c>
    </row>
    <row r="1012" spans="1:17" ht="12.5" x14ac:dyDescent="0.25">
      <c r="A1012" s="1" t="s">
        <v>1099</v>
      </c>
      <c r="B1012" s="1" t="s">
        <v>18</v>
      </c>
      <c r="C1012" s="1" t="s">
        <v>25</v>
      </c>
      <c r="D1012" s="1" t="s">
        <v>28</v>
      </c>
      <c r="E1012" s="1" t="s">
        <v>29</v>
      </c>
      <c r="F1012" s="1"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row>
    <row r="1013" spans="1:17" ht="12.5" x14ac:dyDescent="0.25">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ht="12.5" x14ac:dyDescent="0.25">
      <c r="A1014" s="1" t="s">
        <v>1101</v>
      </c>
      <c r="B1014" s="1" t="s">
        <v>18</v>
      </c>
      <c r="C1014" s="1" t="s">
        <v>25</v>
      </c>
      <c r="D1014" s="1" t="s">
        <v>28</v>
      </c>
      <c r="E1014" s="1" t="s">
        <v>21</v>
      </c>
      <c r="F1014" s="1"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row>
    <row r="1015" spans="1:17" ht="12.5" x14ac:dyDescent="0.25">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ht="12.5" x14ac:dyDescent="0.25">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ht="12.5" x14ac:dyDescent="0.25">
      <c r="A1017" s="1" t="s">
        <v>1104</v>
      </c>
      <c r="B1017" s="1" t="s">
        <v>54</v>
      </c>
      <c r="C1017" s="1" t="s">
        <v>25</v>
      </c>
      <c r="D1017" s="1" t="s">
        <v>28</v>
      </c>
      <c r="E1017" s="1" t="s">
        <v>21</v>
      </c>
      <c r="F1017" s="1"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row>
    <row r="1018" spans="1:17" ht="12.5" x14ac:dyDescent="0.25">
      <c r="A1018" s="1" t="s">
        <v>1105</v>
      </c>
      <c r="B1018" s="1" t="s">
        <v>33</v>
      </c>
      <c r="C1018" s="1" t="s">
        <v>25</v>
      </c>
      <c r="D1018" s="1" t="s">
        <v>28</v>
      </c>
      <c r="E1018" s="1" t="s">
        <v>21</v>
      </c>
      <c r="F1018" s="1"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row>
    <row r="1019" spans="1:17" ht="12.5" x14ac:dyDescent="0.25">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ht="12.5" x14ac:dyDescent="0.25">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ht="12.5" x14ac:dyDescent="0.25">
      <c r="A1021" s="1" t="s">
        <v>1108</v>
      </c>
      <c r="B1021" s="1" t="s">
        <v>33</v>
      </c>
      <c r="C1021" s="1" t="s">
        <v>27</v>
      </c>
      <c r="D1021" s="1" t="s">
        <v>28</v>
      </c>
      <c r="E1021" s="1" t="s">
        <v>29</v>
      </c>
      <c r="F1021" s="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row>
    <row r="1022" spans="1:17" ht="12.5" x14ac:dyDescent="0.25">
      <c r="A1022" s="1" t="s">
        <v>1109</v>
      </c>
      <c r="B1022" s="1" t="s">
        <v>18</v>
      </c>
      <c r="C1022" s="1" t="s">
        <v>27</v>
      </c>
      <c r="D1022" s="1" t="s">
        <v>28</v>
      </c>
      <c r="E1022" s="1" t="s">
        <v>29</v>
      </c>
      <c r="F1022" s="1"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row>
    <row r="1023" spans="1:17" ht="12.5" x14ac:dyDescent="0.25">
      <c r="A1023" s="1" t="s">
        <v>1110</v>
      </c>
      <c r="B1023" s="1" t="s">
        <v>33</v>
      </c>
      <c r="C1023" s="1" t="s">
        <v>27</v>
      </c>
      <c r="D1023" s="1" t="s">
        <v>28</v>
      </c>
      <c r="E1023" s="1" t="s">
        <v>21</v>
      </c>
      <c r="F1023" s="1"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row>
    <row r="1024" spans="1:17" ht="12.5" x14ac:dyDescent="0.25">
      <c r="A1024" s="1" t="s">
        <v>1111</v>
      </c>
      <c r="B1024" s="1" t="s">
        <v>18</v>
      </c>
      <c r="C1024" s="1" t="s">
        <v>27</v>
      </c>
      <c r="D1024" s="1" t="s">
        <v>28</v>
      </c>
      <c r="E1024" s="1" t="s">
        <v>21</v>
      </c>
      <c r="F1024" s="1"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row>
    <row r="1025" spans="1:17" ht="12.5" x14ac:dyDescent="0.25">
      <c r="A1025" s="1" t="s">
        <v>1112</v>
      </c>
      <c r="B1025" s="1" t="s">
        <v>18</v>
      </c>
      <c r="C1025" s="1" t="s">
        <v>19</v>
      </c>
      <c r="D1025" s="1" t="s">
        <v>28</v>
      </c>
      <c r="E1025" s="1" t="s">
        <v>21</v>
      </c>
      <c r="F1025" s="1"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row>
    <row r="1026" spans="1:17" ht="12.5" x14ac:dyDescent="0.25">
      <c r="A1026" s="1" t="s">
        <v>1113</v>
      </c>
      <c r="B1026" s="1" t="s">
        <v>54</v>
      </c>
      <c r="C1026" s="1" t="s">
        <v>25</v>
      </c>
      <c r="D1026" s="1" t="s">
        <v>20</v>
      </c>
      <c r="E1026" s="1" t="s">
        <v>21</v>
      </c>
      <c r="F1026" s="1" t="s">
        <v>39</v>
      </c>
      <c r="G1026" s="1">
        <v>47.16</v>
      </c>
      <c r="H1026" s="1">
        <v>5</v>
      </c>
      <c r="I1026" s="1">
        <v>11.79</v>
      </c>
      <c r="J1026" s="1">
        <v>247.59</v>
      </c>
      <c r="K1026" s="4">
        <v>43526</v>
      </c>
      <c r="L1026" s="3">
        <v>0.60763888888888884</v>
      </c>
      <c r="M1026" s="1" t="s">
        <v>23</v>
      </c>
      <c r="N1026" s="1">
        <v>235.8</v>
      </c>
      <c r="O1026" s="1">
        <v>4.7619047620000003</v>
      </c>
      <c r="P1026" s="1">
        <v>11.79</v>
      </c>
      <c r="Q1026" s="1">
        <v>6</v>
      </c>
    </row>
    <row r="1027" spans="1:17" ht="12.5" x14ac:dyDescent="0.25">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ht="12.5" x14ac:dyDescent="0.25">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ht="12.5" x14ac:dyDescent="0.25">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ht="12.5" x14ac:dyDescent="0.25">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ht="12.5" x14ac:dyDescent="0.25">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ht="12.5" x14ac:dyDescent="0.25">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ht="12.5" x14ac:dyDescent="0.25">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ht="12.5" x14ac:dyDescent="0.25">
      <c r="A1034" s="1" t="s">
        <v>1121</v>
      </c>
      <c r="B1034" s="1" t="s">
        <v>33</v>
      </c>
      <c r="C1034" s="1" t="s">
        <v>25</v>
      </c>
      <c r="D1034" s="1" t="s">
        <v>20</v>
      </c>
      <c r="E1034" s="1" t="s">
        <v>29</v>
      </c>
      <c r="F1034" s="1"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row>
    <row r="1035" spans="1:17" ht="12.5" x14ac:dyDescent="0.25">
      <c r="A1035" s="1" t="s">
        <v>1122</v>
      </c>
      <c r="B1035" s="1" t="s">
        <v>33</v>
      </c>
      <c r="C1035" s="1" t="s">
        <v>27</v>
      </c>
      <c r="D1035" s="1" t="s">
        <v>20</v>
      </c>
      <c r="E1035" s="1" t="s">
        <v>21</v>
      </c>
      <c r="F1035" s="1"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row>
    <row r="1036" spans="1:17" ht="12.5" x14ac:dyDescent="0.25">
      <c r="A1036" s="1" t="s">
        <v>1123</v>
      </c>
      <c r="B1036" s="1" t="s">
        <v>18</v>
      </c>
      <c r="C1036" s="1" t="s">
        <v>27</v>
      </c>
      <c r="D1036" s="1" t="s">
        <v>20</v>
      </c>
      <c r="E1036" s="1" t="s">
        <v>21</v>
      </c>
      <c r="F1036" s="1"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row>
    <row r="1037" spans="1:17" ht="12.5" x14ac:dyDescent="0.25">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ht="12.5" x14ac:dyDescent="0.25">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ht="12.5" x14ac:dyDescent="0.25">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ht="12.5" x14ac:dyDescent="0.25">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ht="12.5" x14ac:dyDescent="0.25">
      <c r="A1041" s="1" t="s">
        <v>1128</v>
      </c>
      <c r="B1041" s="1" t="s">
        <v>33</v>
      </c>
      <c r="C1041" s="1" t="s">
        <v>25</v>
      </c>
      <c r="D1041" s="1" t="s">
        <v>28</v>
      </c>
      <c r="E1041" s="1" t="s">
        <v>21</v>
      </c>
      <c r="F1041" s="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row>
    <row r="1042" spans="1:17" ht="12.5" x14ac:dyDescent="0.25">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ht="12.5" x14ac:dyDescent="0.25">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ht="12.5" x14ac:dyDescent="0.25">
      <c r="A1044" s="1" t="s">
        <v>1131</v>
      </c>
      <c r="B1044" s="1" t="s">
        <v>54</v>
      </c>
      <c r="C1044" s="1" t="s">
        <v>25</v>
      </c>
      <c r="D1044" s="1" t="s">
        <v>20</v>
      </c>
      <c r="E1044" s="1" t="s">
        <v>21</v>
      </c>
      <c r="F1044" s="1"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row>
    <row r="1045" spans="1:17" ht="12.5" x14ac:dyDescent="0.25">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ht="12.5" x14ac:dyDescent="0.25">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ht="12.5" x14ac:dyDescent="0.25">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ht="12.5" x14ac:dyDescent="0.25">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ht="12.5" x14ac:dyDescent="0.25">
      <c r="A1049" s="1" t="s">
        <v>1136</v>
      </c>
      <c r="B1049" s="1" t="s">
        <v>18</v>
      </c>
      <c r="C1049" s="1" t="s">
        <v>25</v>
      </c>
      <c r="D1049" s="1" t="s">
        <v>20</v>
      </c>
      <c r="E1049" s="1" t="s">
        <v>29</v>
      </c>
      <c r="F1049" s="1" t="s">
        <v>84</v>
      </c>
      <c r="G1049" s="1">
        <v>30.2</v>
      </c>
      <c r="H1049" s="1">
        <v>8</v>
      </c>
      <c r="I1049" s="1">
        <v>12.08</v>
      </c>
      <c r="J1049" s="1">
        <v>253.68</v>
      </c>
      <c r="K1049" s="4">
        <v>43527</v>
      </c>
      <c r="L1049" s="3">
        <v>0.8125</v>
      </c>
      <c r="M1049" s="1" t="s">
        <v>23</v>
      </c>
      <c r="N1049" s="1">
        <v>241.6</v>
      </c>
      <c r="O1049" s="1">
        <v>4.7619047620000003</v>
      </c>
      <c r="P1049" s="1">
        <v>12.08</v>
      </c>
      <c r="Q1049" s="1">
        <v>5.0999999999999996</v>
      </c>
    </row>
    <row r="1050" spans="1:17" ht="12.5" x14ac:dyDescent="0.25">
      <c r="A1050" s="1" t="s">
        <v>1137</v>
      </c>
      <c r="B1050" s="1" t="s">
        <v>18</v>
      </c>
      <c r="C1050" s="1" t="s">
        <v>19</v>
      </c>
      <c r="D1050" s="1" t="s">
        <v>20</v>
      </c>
      <c r="E1050" s="1" t="s">
        <v>21</v>
      </c>
      <c r="F1050" s="1" t="s">
        <v>84</v>
      </c>
      <c r="G1050" s="1">
        <v>30.2</v>
      </c>
      <c r="H1050" s="1">
        <v>8</v>
      </c>
      <c r="I1050" s="1">
        <v>12.08</v>
      </c>
      <c r="J1050" s="1">
        <v>253.68</v>
      </c>
      <c r="K1050" s="4">
        <v>43527</v>
      </c>
      <c r="L1050" s="3">
        <v>0.8125</v>
      </c>
      <c r="M1050" s="1" t="s">
        <v>23</v>
      </c>
      <c r="N1050" s="1">
        <v>241.6</v>
      </c>
      <c r="O1050" s="1">
        <v>4.7619047620000003</v>
      </c>
      <c r="P1050" s="1">
        <v>12.08</v>
      </c>
      <c r="Q1050" s="1">
        <v>5.0999999999999996</v>
      </c>
    </row>
    <row r="1051" spans="1:17" ht="12.5" x14ac:dyDescent="0.25">
      <c r="A1051" s="1" t="s">
        <v>1138</v>
      </c>
      <c r="B1051" s="1" t="s">
        <v>18</v>
      </c>
      <c r="C1051" s="1" t="s">
        <v>25</v>
      </c>
      <c r="D1051" s="1" t="s">
        <v>20</v>
      </c>
      <c r="E1051" s="1" t="s">
        <v>29</v>
      </c>
      <c r="F1051" s="1" t="s">
        <v>84</v>
      </c>
      <c r="G1051" s="1">
        <v>30.2</v>
      </c>
      <c r="H1051" s="1">
        <v>8</v>
      </c>
      <c r="I1051" s="1">
        <v>12.08</v>
      </c>
      <c r="J1051" s="1">
        <v>253.68</v>
      </c>
      <c r="K1051" s="4">
        <v>43527</v>
      </c>
      <c r="L1051" s="3">
        <v>0.8125</v>
      </c>
      <c r="M1051" s="1" t="s">
        <v>23</v>
      </c>
      <c r="N1051" s="1">
        <v>241.6</v>
      </c>
      <c r="O1051" s="1">
        <v>4.7619047620000003</v>
      </c>
      <c r="P1051" s="1">
        <v>12.08</v>
      </c>
      <c r="Q1051" s="1">
        <v>5.0999999999999996</v>
      </c>
    </row>
    <row r="1052" spans="1:17" ht="12.5" x14ac:dyDescent="0.25">
      <c r="A1052" s="1" t="s">
        <v>1139</v>
      </c>
      <c r="B1052" s="1" t="s">
        <v>18</v>
      </c>
      <c r="C1052" s="1" t="s">
        <v>19</v>
      </c>
      <c r="D1052" s="1" t="s">
        <v>20</v>
      </c>
      <c r="E1052" s="1" t="s">
        <v>21</v>
      </c>
      <c r="F1052" s="1" t="s">
        <v>39</v>
      </c>
      <c r="G1052" s="1">
        <v>30.2</v>
      </c>
      <c r="H1052" s="1">
        <v>8</v>
      </c>
      <c r="I1052" s="1">
        <v>12.08</v>
      </c>
      <c r="J1052" s="1">
        <v>253.68</v>
      </c>
      <c r="K1052" s="4">
        <v>43527</v>
      </c>
      <c r="L1052" s="3">
        <v>0.8125</v>
      </c>
      <c r="M1052" s="1" t="s">
        <v>23</v>
      </c>
      <c r="N1052" s="1">
        <v>241.6</v>
      </c>
      <c r="O1052" s="1">
        <v>4.7619047620000003</v>
      </c>
      <c r="P1052" s="1">
        <v>12.08</v>
      </c>
      <c r="Q1052" s="1">
        <v>5.0999999999999996</v>
      </c>
    </row>
    <row r="1053" spans="1:17" ht="12.5" x14ac:dyDescent="0.25">
      <c r="A1053" s="1" t="s">
        <v>1140</v>
      </c>
      <c r="B1053" s="1" t="s">
        <v>18</v>
      </c>
      <c r="C1053" s="1" t="s">
        <v>19</v>
      </c>
      <c r="D1053" s="1" t="s">
        <v>20</v>
      </c>
      <c r="E1053" s="1" t="s">
        <v>21</v>
      </c>
      <c r="F1053" s="1"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row>
    <row r="1054" spans="1:17" ht="12.5" x14ac:dyDescent="0.25">
      <c r="A1054" s="1" t="s">
        <v>1141</v>
      </c>
      <c r="B1054" s="1" t="s">
        <v>54</v>
      </c>
      <c r="C1054" s="1" t="s">
        <v>25</v>
      </c>
      <c r="D1054" s="1" t="s">
        <v>28</v>
      </c>
      <c r="E1054" s="1" t="s">
        <v>21</v>
      </c>
      <c r="F1054" s="1" t="s">
        <v>44</v>
      </c>
      <c r="G1054" s="1">
        <v>27</v>
      </c>
      <c r="H1054" s="1">
        <v>9</v>
      </c>
      <c r="I1054" s="1">
        <v>12.15</v>
      </c>
      <c r="J1054" s="1">
        <v>255.15</v>
      </c>
      <c r="K1054" s="4">
        <v>43499</v>
      </c>
      <c r="L1054" s="3">
        <v>0.59444444444444444</v>
      </c>
      <c r="M1054" s="1" t="s">
        <v>23</v>
      </c>
      <c r="N1054" s="1">
        <v>243</v>
      </c>
      <c r="O1054" s="1">
        <v>4.7619047620000003</v>
      </c>
      <c r="P1054" s="1">
        <v>12.15</v>
      </c>
      <c r="Q1054" s="1">
        <v>4.8</v>
      </c>
    </row>
    <row r="1055" spans="1:17" ht="12.5" x14ac:dyDescent="0.25">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ht="12.5" x14ac:dyDescent="0.25">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ht="12.5" x14ac:dyDescent="0.25">
      <c r="A1057" s="1" t="s">
        <v>1144</v>
      </c>
      <c r="B1057" s="1" t="s">
        <v>54</v>
      </c>
      <c r="C1057" s="1" t="s">
        <v>25</v>
      </c>
      <c r="D1057" s="1" t="s">
        <v>20</v>
      </c>
      <c r="E1057" s="1" t="s">
        <v>21</v>
      </c>
      <c r="F1057" s="1"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row>
    <row r="1058" spans="1:17" ht="12.5" x14ac:dyDescent="0.25">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ht="12.5" x14ac:dyDescent="0.25">
      <c r="A1059" s="1" t="s">
        <v>1146</v>
      </c>
      <c r="B1059" s="1" t="s">
        <v>18</v>
      </c>
      <c r="C1059" s="1" t="s">
        <v>19</v>
      </c>
      <c r="D1059" s="1" t="s">
        <v>20</v>
      </c>
      <c r="E1059" s="1" t="s">
        <v>21</v>
      </c>
      <c r="F1059" s="1"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row>
    <row r="1060" spans="1:17" ht="12.5" x14ac:dyDescent="0.25">
      <c r="A1060" s="1" t="s">
        <v>1147</v>
      </c>
      <c r="B1060" s="1" t="s">
        <v>18</v>
      </c>
      <c r="C1060" s="1" t="s">
        <v>19</v>
      </c>
      <c r="D1060" s="1" t="s">
        <v>20</v>
      </c>
      <c r="E1060" s="1" t="s">
        <v>21</v>
      </c>
      <c r="F1060" s="1"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row>
    <row r="1061" spans="1:17" ht="12.5" x14ac:dyDescent="0.25">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ht="12.5" x14ac:dyDescent="0.25">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ht="12.5" x14ac:dyDescent="0.25">
      <c r="A1063" s="1" t="s">
        <v>1150</v>
      </c>
      <c r="B1063" s="1" t="s">
        <v>18</v>
      </c>
      <c r="C1063" s="1" t="s">
        <v>25</v>
      </c>
      <c r="D1063" s="1" t="s">
        <v>20</v>
      </c>
      <c r="E1063" s="1" t="s">
        <v>29</v>
      </c>
      <c r="F1063" s="1" t="s">
        <v>55</v>
      </c>
      <c r="G1063" s="1">
        <v>41.06</v>
      </c>
      <c r="H1063" s="1">
        <v>6</v>
      </c>
      <c r="I1063" s="1">
        <v>12.318</v>
      </c>
      <c r="J1063" s="1">
        <v>258.678</v>
      </c>
      <c r="K1063" s="4">
        <v>43588</v>
      </c>
      <c r="L1063" s="3">
        <v>0.5625</v>
      </c>
      <c r="M1063" s="1" t="s">
        <v>48</v>
      </c>
      <c r="N1063" s="1">
        <v>246.36</v>
      </c>
      <c r="O1063" s="1">
        <v>4.7619047620000003</v>
      </c>
      <c r="P1063" s="1">
        <v>12.318</v>
      </c>
      <c r="Q1063" s="1">
        <v>8.3000000000000007</v>
      </c>
    </row>
    <row r="1064" spans="1:17" ht="12.5" x14ac:dyDescent="0.25">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ht="12.5" x14ac:dyDescent="0.25">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ht="12.5" x14ac:dyDescent="0.25">
      <c r="A1066" s="1" t="s">
        <v>1153</v>
      </c>
      <c r="B1066" s="1" t="s">
        <v>18</v>
      </c>
      <c r="C1066" s="1" t="s">
        <v>25</v>
      </c>
      <c r="D1066" s="1" t="s">
        <v>28</v>
      </c>
      <c r="E1066" s="1" t="s">
        <v>21</v>
      </c>
      <c r="F1066" s="1"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row>
    <row r="1067" spans="1:17" ht="12.5" x14ac:dyDescent="0.25">
      <c r="A1067" s="1" t="s">
        <v>1154</v>
      </c>
      <c r="B1067" s="1" t="s">
        <v>18</v>
      </c>
      <c r="C1067" s="1" t="s">
        <v>27</v>
      </c>
      <c r="D1067" s="1" t="s">
        <v>20</v>
      </c>
      <c r="E1067" s="1" t="s">
        <v>21</v>
      </c>
      <c r="F1067" s="1"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row>
    <row r="1068" spans="1:17" ht="12.5" x14ac:dyDescent="0.25">
      <c r="A1068" s="1" t="s">
        <v>1155</v>
      </c>
      <c r="B1068" s="1" t="s">
        <v>33</v>
      </c>
      <c r="C1068" s="1" t="s">
        <v>25</v>
      </c>
      <c r="D1068" s="1" t="s">
        <v>20</v>
      </c>
      <c r="E1068" s="1" t="s">
        <v>21</v>
      </c>
      <c r="F1068" s="1"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row>
    <row r="1069" spans="1:17" ht="12.5" x14ac:dyDescent="0.25">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ht="12.5" x14ac:dyDescent="0.25">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ht="12.5" x14ac:dyDescent="0.25">
      <c r="A1071" s="1" t="s">
        <v>1158</v>
      </c>
      <c r="B1071" s="1" t="s">
        <v>33</v>
      </c>
      <c r="C1071" s="1" t="s">
        <v>27</v>
      </c>
      <c r="D1071" s="1" t="s">
        <v>20</v>
      </c>
      <c r="E1071" s="1" t="s">
        <v>21</v>
      </c>
      <c r="F1071" s="1" t="s">
        <v>44</v>
      </c>
      <c r="G1071" s="1">
        <v>62.65</v>
      </c>
      <c r="H1071" s="1">
        <v>4</v>
      </c>
      <c r="I1071" s="1">
        <v>12.53</v>
      </c>
      <c r="J1071" s="1">
        <v>263.13</v>
      </c>
      <c r="K1071" s="4">
        <v>43586</v>
      </c>
      <c r="L1071" s="3">
        <v>0.47569444444444442</v>
      </c>
      <c r="M1071" s="1" t="s">
        <v>23</v>
      </c>
      <c r="N1071" s="1">
        <v>250.6</v>
      </c>
      <c r="O1071" s="1">
        <v>4.7619047620000003</v>
      </c>
      <c r="P1071" s="1">
        <v>12.53</v>
      </c>
      <c r="Q1071" s="1">
        <v>4.2</v>
      </c>
    </row>
    <row r="1072" spans="1:17" ht="12.5" x14ac:dyDescent="0.25">
      <c r="A1072" s="1" t="s">
        <v>1159</v>
      </c>
      <c r="B1072" s="1" t="s">
        <v>54</v>
      </c>
      <c r="C1072" s="1" t="s">
        <v>25</v>
      </c>
      <c r="D1072" s="1" t="s">
        <v>28</v>
      </c>
      <c r="E1072" s="1" t="s">
        <v>21</v>
      </c>
      <c r="F1072" s="1"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row>
    <row r="1073" spans="1:17" ht="12.5" x14ac:dyDescent="0.25">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ht="12.5" x14ac:dyDescent="0.25">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ht="12.5" x14ac:dyDescent="0.25">
      <c r="A1075" s="1" t="s">
        <v>1162</v>
      </c>
      <c r="B1075" s="1" t="s">
        <v>54</v>
      </c>
      <c r="C1075" s="1" t="s">
        <v>25</v>
      </c>
      <c r="D1075" s="1" t="s">
        <v>28</v>
      </c>
      <c r="E1075" s="1" t="s">
        <v>21</v>
      </c>
      <c r="F1075" s="1"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row>
    <row r="1076" spans="1:17" ht="12.5" x14ac:dyDescent="0.25">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ht="12.5" x14ac:dyDescent="0.25">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ht="12.5" x14ac:dyDescent="0.25">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ht="12.5" x14ac:dyDescent="0.25">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ht="12.5" x14ac:dyDescent="0.25">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ht="12.5" x14ac:dyDescent="0.25">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ht="12.5" x14ac:dyDescent="0.25">
      <c r="A1082" s="1" t="s">
        <v>1169</v>
      </c>
      <c r="B1082" s="1" t="s">
        <v>18</v>
      </c>
      <c r="C1082" s="1" t="s">
        <v>25</v>
      </c>
      <c r="D1082" s="1" t="s">
        <v>20</v>
      </c>
      <c r="E1082" s="1" t="s">
        <v>29</v>
      </c>
      <c r="F1082" s="1"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row>
    <row r="1083" spans="1:17" ht="12.5" x14ac:dyDescent="0.25">
      <c r="A1083" s="1" t="s">
        <v>1170</v>
      </c>
      <c r="B1083" s="1" t="s">
        <v>18</v>
      </c>
      <c r="C1083" s="1" t="s">
        <v>19</v>
      </c>
      <c r="D1083" s="1" t="s">
        <v>20</v>
      </c>
      <c r="E1083" s="1" t="s">
        <v>21</v>
      </c>
      <c r="F1083" s="1"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row>
    <row r="1084" spans="1:17" ht="12.5" x14ac:dyDescent="0.25">
      <c r="A1084" s="1" t="s">
        <v>1171</v>
      </c>
      <c r="B1084" s="1" t="s">
        <v>18</v>
      </c>
      <c r="C1084" s="1" t="s">
        <v>25</v>
      </c>
      <c r="D1084" s="1" t="s">
        <v>20</v>
      </c>
      <c r="E1084" s="1" t="s">
        <v>29</v>
      </c>
      <c r="F1084" s="1"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row>
    <row r="1085" spans="1:17" ht="12.5" x14ac:dyDescent="0.25">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ht="12.5" x14ac:dyDescent="0.25">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ht="12.5" x14ac:dyDescent="0.25">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ht="12.5" x14ac:dyDescent="0.25">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ht="12.5" x14ac:dyDescent="0.25">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ht="12.5" x14ac:dyDescent="0.25">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ht="12.5" x14ac:dyDescent="0.25">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ht="12.5" x14ac:dyDescent="0.25">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ht="12.5" x14ac:dyDescent="0.25">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ht="12.5" x14ac:dyDescent="0.25">
      <c r="A1094" s="1" t="s">
        <v>1181</v>
      </c>
      <c r="B1094" s="1" t="s">
        <v>18</v>
      </c>
      <c r="C1094" s="1" t="s">
        <v>19</v>
      </c>
      <c r="D1094" s="1" t="s">
        <v>20</v>
      </c>
      <c r="E1094" s="1" t="s">
        <v>29</v>
      </c>
      <c r="F1094" s="1"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row>
    <row r="1095" spans="1:17" ht="12.5" x14ac:dyDescent="0.25">
      <c r="A1095" s="1" t="s">
        <v>1182</v>
      </c>
      <c r="B1095" s="1" t="s">
        <v>18</v>
      </c>
      <c r="C1095" s="1" t="s">
        <v>25</v>
      </c>
      <c r="D1095" s="1" t="s">
        <v>20</v>
      </c>
      <c r="E1095" s="1" t="s">
        <v>29</v>
      </c>
      <c r="F1095" s="1"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row>
    <row r="1096" spans="1:17" ht="12.5" x14ac:dyDescent="0.25">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ht="12.5" x14ac:dyDescent="0.25">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ht="12.5" x14ac:dyDescent="0.25">
      <c r="A1098" s="1" t="s">
        <v>1185</v>
      </c>
      <c r="B1098" s="1" t="s">
        <v>33</v>
      </c>
      <c r="C1098" s="1" t="s">
        <v>27</v>
      </c>
      <c r="D1098" s="1" t="s">
        <v>28</v>
      </c>
      <c r="E1098" s="1" t="s">
        <v>21</v>
      </c>
      <c r="F1098" s="1"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row>
    <row r="1099" spans="1:17" ht="12.5" x14ac:dyDescent="0.25">
      <c r="A1099" s="1" t="s">
        <v>1186</v>
      </c>
      <c r="B1099" s="1" t="s">
        <v>33</v>
      </c>
      <c r="C1099" s="1" t="s">
        <v>25</v>
      </c>
      <c r="D1099" s="1" t="s">
        <v>28</v>
      </c>
      <c r="E1099" s="1" t="s">
        <v>21</v>
      </c>
      <c r="F1099" s="1"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row>
    <row r="1100" spans="1:17" ht="12.5" x14ac:dyDescent="0.25">
      <c r="A1100" s="1" t="s">
        <v>1187</v>
      </c>
      <c r="B1100" s="1" t="s">
        <v>33</v>
      </c>
      <c r="C1100" s="1" t="s">
        <v>19</v>
      </c>
      <c r="D1100" s="1" t="s">
        <v>28</v>
      </c>
      <c r="E1100" s="1" t="s">
        <v>21</v>
      </c>
      <c r="F1100" s="1"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row>
    <row r="1101" spans="1:17" ht="12.5" x14ac:dyDescent="0.25">
      <c r="A1101" s="1" t="s">
        <v>1188</v>
      </c>
      <c r="B1101" s="1" t="s">
        <v>54</v>
      </c>
      <c r="C1101" s="1" t="s">
        <v>25</v>
      </c>
      <c r="D1101" s="1" t="s">
        <v>20</v>
      </c>
      <c r="E1101" s="1" t="s">
        <v>21</v>
      </c>
      <c r="F1101" s="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row>
    <row r="1102" spans="1:17" ht="12.5" x14ac:dyDescent="0.25">
      <c r="A1102" s="1" t="s">
        <v>1189</v>
      </c>
      <c r="B1102" s="1" t="s">
        <v>18</v>
      </c>
      <c r="C1102" s="1" t="s">
        <v>25</v>
      </c>
      <c r="D1102" s="1" t="s">
        <v>28</v>
      </c>
      <c r="E1102" s="1" t="s">
        <v>21</v>
      </c>
      <c r="F1102" s="1"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row>
    <row r="1103" spans="1:17" ht="12.5" x14ac:dyDescent="0.25">
      <c r="A1103" s="1" t="s">
        <v>1190</v>
      </c>
      <c r="B1103" s="1" t="s">
        <v>18</v>
      </c>
      <c r="C1103" s="1" t="s">
        <v>25</v>
      </c>
      <c r="D1103" s="1" t="s">
        <v>28</v>
      </c>
      <c r="E1103" s="1" t="s">
        <v>21</v>
      </c>
      <c r="F1103" s="1"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row>
    <row r="1104" spans="1:17" ht="12.5" x14ac:dyDescent="0.25">
      <c r="A1104" s="1" t="s">
        <v>1191</v>
      </c>
      <c r="B1104" s="1" t="s">
        <v>54</v>
      </c>
      <c r="C1104" s="1" t="s">
        <v>25</v>
      </c>
      <c r="D1104" s="1" t="s">
        <v>20</v>
      </c>
      <c r="E1104" s="1" t="s">
        <v>21</v>
      </c>
      <c r="F1104" s="1"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row>
    <row r="1105" spans="1:17" ht="12.5" x14ac:dyDescent="0.25">
      <c r="A1105" s="1" t="s">
        <v>1192</v>
      </c>
      <c r="B1105" s="1" t="s">
        <v>18</v>
      </c>
      <c r="C1105" s="1" t="s">
        <v>25</v>
      </c>
      <c r="D1105" s="1" t="s">
        <v>28</v>
      </c>
      <c r="E1105" s="1" t="s">
        <v>29</v>
      </c>
      <c r="F1105" s="1" t="s">
        <v>84</v>
      </c>
      <c r="G1105" s="1">
        <v>51.92</v>
      </c>
      <c r="H1105" s="1">
        <v>5</v>
      </c>
      <c r="I1105" s="1">
        <v>12.98</v>
      </c>
      <c r="J1105" s="1">
        <v>272.58</v>
      </c>
      <c r="K1105" s="4">
        <v>43527</v>
      </c>
      <c r="L1105" s="3">
        <v>0.5708333333333333</v>
      </c>
      <c r="M1105" s="1" t="s">
        <v>23</v>
      </c>
      <c r="N1105" s="1">
        <v>259.60000000000002</v>
      </c>
      <c r="O1105" s="1">
        <v>4.7619047620000003</v>
      </c>
      <c r="P1105" s="1">
        <v>12.98</v>
      </c>
      <c r="Q1105" s="1">
        <v>7.5</v>
      </c>
    </row>
    <row r="1106" spans="1:17" ht="12.5" x14ac:dyDescent="0.25">
      <c r="A1106" s="1" t="s">
        <v>1193</v>
      </c>
      <c r="B1106" s="1" t="s">
        <v>18</v>
      </c>
      <c r="C1106" s="1" t="s">
        <v>19</v>
      </c>
      <c r="D1106" s="1" t="s">
        <v>20</v>
      </c>
      <c r="E1106" s="1" t="s">
        <v>21</v>
      </c>
      <c r="F1106" s="1" t="s">
        <v>84</v>
      </c>
      <c r="G1106" s="1">
        <v>51.92</v>
      </c>
      <c r="H1106" s="1">
        <v>5</v>
      </c>
      <c r="I1106" s="1">
        <v>12.98</v>
      </c>
      <c r="J1106" s="1">
        <v>272.58</v>
      </c>
      <c r="K1106" s="4">
        <v>43527</v>
      </c>
      <c r="L1106" s="3">
        <v>0.5708333333333333</v>
      </c>
      <c r="M1106" s="1" t="s">
        <v>23</v>
      </c>
      <c r="N1106" s="1">
        <v>259.60000000000002</v>
      </c>
      <c r="O1106" s="1">
        <v>4.7619047620000003</v>
      </c>
      <c r="P1106" s="1">
        <v>12.98</v>
      </c>
      <c r="Q1106" s="1">
        <v>7.5</v>
      </c>
    </row>
    <row r="1107" spans="1:17" ht="12.5" x14ac:dyDescent="0.25">
      <c r="A1107" s="1" t="s">
        <v>1194</v>
      </c>
      <c r="B1107" s="1" t="s">
        <v>18</v>
      </c>
      <c r="C1107" s="1" t="s">
        <v>19</v>
      </c>
      <c r="D1107" s="1" t="s">
        <v>20</v>
      </c>
      <c r="E1107" s="1" t="s">
        <v>21</v>
      </c>
      <c r="F1107" s="1" t="s">
        <v>84</v>
      </c>
      <c r="G1107" s="1">
        <v>51.92</v>
      </c>
      <c r="H1107" s="1">
        <v>5</v>
      </c>
      <c r="I1107" s="1">
        <v>12.98</v>
      </c>
      <c r="J1107" s="1">
        <v>272.58</v>
      </c>
      <c r="K1107" s="4">
        <v>43527</v>
      </c>
      <c r="L1107" s="3">
        <v>0.5708333333333333</v>
      </c>
      <c r="M1107" s="1" t="s">
        <v>23</v>
      </c>
      <c r="N1107" s="1">
        <v>259.60000000000002</v>
      </c>
      <c r="O1107" s="1">
        <v>4.7619047620000003</v>
      </c>
      <c r="P1107" s="1">
        <v>12.98</v>
      </c>
      <c r="Q1107" s="1">
        <v>9.6</v>
      </c>
    </row>
    <row r="1108" spans="1:17" ht="12.5" x14ac:dyDescent="0.25">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ht="12.5" x14ac:dyDescent="0.25">
      <c r="A1109" s="1" t="s">
        <v>1196</v>
      </c>
      <c r="B1109" s="1" t="s">
        <v>18</v>
      </c>
      <c r="C1109" s="1" t="s">
        <v>19</v>
      </c>
      <c r="D1109" s="1" t="s">
        <v>20</v>
      </c>
      <c r="E1109" s="1" t="s">
        <v>29</v>
      </c>
      <c r="F1109" s="1"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row>
    <row r="1110" spans="1:17" ht="12.5" x14ac:dyDescent="0.25">
      <c r="A1110" s="1" t="s">
        <v>1197</v>
      </c>
      <c r="B1110" s="1" t="s">
        <v>18</v>
      </c>
      <c r="C1110" s="1" t="s">
        <v>19</v>
      </c>
      <c r="D1110" s="1" t="s">
        <v>28</v>
      </c>
      <c r="E1110" s="1" t="s">
        <v>29</v>
      </c>
      <c r="F1110" s="1"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row>
    <row r="1111" spans="1:17" ht="12.5" x14ac:dyDescent="0.25">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ht="12.5" x14ac:dyDescent="0.25">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ht="12.5" x14ac:dyDescent="0.25">
      <c r="A1113" s="1" t="s">
        <v>1200</v>
      </c>
      <c r="B1113" s="1" t="s">
        <v>18</v>
      </c>
      <c r="C1113" s="1" t="s">
        <v>19</v>
      </c>
      <c r="D1113" s="1" t="s">
        <v>20</v>
      </c>
      <c r="E1113" s="1" t="s">
        <v>29</v>
      </c>
      <c r="F1113" s="1" t="s">
        <v>30</v>
      </c>
      <c r="G1113" s="1">
        <v>43.46</v>
      </c>
      <c r="H1113" s="1">
        <v>6</v>
      </c>
      <c r="I1113" s="1">
        <v>13.038</v>
      </c>
      <c r="J1113" s="1">
        <v>273.798</v>
      </c>
      <c r="K1113" s="4">
        <v>43648</v>
      </c>
      <c r="L1113" s="3">
        <v>0.74652777777777779</v>
      </c>
      <c r="M1113" s="1" t="s">
        <v>23</v>
      </c>
      <c r="N1113" s="1">
        <v>260.76</v>
      </c>
      <c r="O1113" s="1">
        <v>4.7619047620000003</v>
      </c>
      <c r="P1113" s="1">
        <v>13.038</v>
      </c>
      <c r="Q1113" s="1">
        <v>8.5</v>
      </c>
    </row>
    <row r="1114" spans="1:17" ht="12.5" x14ac:dyDescent="0.25">
      <c r="A1114" s="1" t="s">
        <v>1201</v>
      </c>
      <c r="B1114" s="1" t="s">
        <v>18</v>
      </c>
      <c r="C1114" s="1" t="s">
        <v>25</v>
      </c>
      <c r="D1114" s="1" t="s">
        <v>20</v>
      </c>
      <c r="E1114" s="1" t="s">
        <v>21</v>
      </c>
      <c r="F1114" s="1" t="s">
        <v>30</v>
      </c>
      <c r="G1114" s="1">
        <v>43.46</v>
      </c>
      <c r="H1114" s="1">
        <v>6</v>
      </c>
      <c r="I1114" s="1">
        <v>13.038</v>
      </c>
      <c r="J1114" s="1">
        <v>273.798</v>
      </c>
      <c r="K1114" s="4">
        <v>43648</v>
      </c>
      <c r="L1114" s="3">
        <v>0.74652777777777779</v>
      </c>
      <c r="M1114" s="1" t="s">
        <v>40</v>
      </c>
      <c r="N1114" s="1">
        <v>260.76</v>
      </c>
      <c r="O1114" s="1">
        <v>4.7619047620000003</v>
      </c>
      <c r="P1114" s="1">
        <v>13.038</v>
      </c>
      <c r="Q1114" s="1">
        <v>8.5</v>
      </c>
    </row>
    <row r="1115" spans="1:17" ht="12.5" x14ac:dyDescent="0.25">
      <c r="A1115" s="1" t="s">
        <v>1202</v>
      </c>
      <c r="B1115" s="1" t="s">
        <v>18</v>
      </c>
      <c r="C1115" s="1" t="s">
        <v>19</v>
      </c>
      <c r="D1115" s="1" t="s">
        <v>20</v>
      </c>
      <c r="E1115" s="1" t="s">
        <v>29</v>
      </c>
      <c r="F1115" s="1"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row>
    <row r="1116" spans="1:17" ht="12.5" x14ac:dyDescent="0.25">
      <c r="A1116" s="1" t="s">
        <v>1203</v>
      </c>
      <c r="B1116" s="1" t="s">
        <v>18</v>
      </c>
      <c r="C1116" s="1" t="s">
        <v>19</v>
      </c>
      <c r="D1116" s="1" t="s">
        <v>20</v>
      </c>
      <c r="E1116" s="1" t="s">
        <v>21</v>
      </c>
      <c r="F1116" s="1"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row>
    <row r="1117" spans="1:17" ht="12.5" x14ac:dyDescent="0.25">
      <c r="A1117" s="1" t="s">
        <v>1204</v>
      </c>
      <c r="B1117" s="1" t="s">
        <v>18</v>
      </c>
      <c r="C1117" s="1" t="s">
        <v>25</v>
      </c>
      <c r="D1117" s="1" t="s">
        <v>20</v>
      </c>
      <c r="E1117" s="1" t="s">
        <v>21</v>
      </c>
      <c r="F1117" s="1"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row>
    <row r="1118" spans="1:17" ht="12.5" x14ac:dyDescent="0.25">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ht="12.5" x14ac:dyDescent="0.25">
      <c r="A1119" s="1" t="s">
        <v>1206</v>
      </c>
      <c r="B1119" s="1" t="s">
        <v>18</v>
      </c>
      <c r="C1119" s="1" t="s">
        <v>19</v>
      </c>
      <c r="D1119" s="1" t="s">
        <v>20</v>
      </c>
      <c r="E1119" s="1" t="s">
        <v>21</v>
      </c>
      <c r="F1119" s="1"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row>
    <row r="1120" spans="1:17" ht="12.5" x14ac:dyDescent="0.25">
      <c r="A1120" s="1" t="s">
        <v>1207</v>
      </c>
      <c r="B1120" s="1" t="s">
        <v>18</v>
      </c>
      <c r="C1120" s="1" t="s">
        <v>25</v>
      </c>
      <c r="D1120" s="1" t="s">
        <v>20</v>
      </c>
      <c r="E1120" s="1" t="s">
        <v>21</v>
      </c>
      <c r="F1120" s="1"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row>
    <row r="1121" spans="1:17" ht="12.5" x14ac:dyDescent="0.25">
      <c r="A1121" s="1" t="s">
        <v>1208</v>
      </c>
      <c r="B1121" s="1" t="s">
        <v>54</v>
      </c>
      <c r="C1121" s="1" t="s">
        <v>25</v>
      </c>
      <c r="D1121" s="1" t="s">
        <v>28</v>
      </c>
      <c r="E1121" s="1" t="s">
        <v>21</v>
      </c>
      <c r="F1121" s="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row>
    <row r="1122" spans="1:17" ht="12.5" x14ac:dyDescent="0.25">
      <c r="A1122" s="1" t="s">
        <v>1209</v>
      </c>
      <c r="B1122" s="1" t="s">
        <v>18</v>
      </c>
      <c r="C1122" s="1" t="s">
        <v>25</v>
      </c>
      <c r="D1122" s="1" t="s">
        <v>28</v>
      </c>
      <c r="E1122" s="1" t="s">
        <v>21</v>
      </c>
      <c r="F1122" s="1"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row>
    <row r="1123" spans="1:17" ht="12.5" x14ac:dyDescent="0.25">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ht="12.5" x14ac:dyDescent="0.25">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ht="12.5" x14ac:dyDescent="0.25">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ht="12.5" x14ac:dyDescent="0.25">
      <c r="A1126" s="1" t="s">
        <v>1213</v>
      </c>
      <c r="B1126" s="1" t="s">
        <v>33</v>
      </c>
      <c r="C1126" s="1" t="s">
        <v>27</v>
      </c>
      <c r="D1126" s="1" t="s">
        <v>20</v>
      </c>
      <c r="E1126" s="1" t="s">
        <v>21</v>
      </c>
      <c r="F1126" s="1"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row>
    <row r="1127" spans="1:17" ht="12.5" x14ac:dyDescent="0.25">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ht="12.5" x14ac:dyDescent="0.25">
      <c r="A1128" s="1" t="s">
        <v>1215</v>
      </c>
      <c r="B1128" s="1" t="s">
        <v>33</v>
      </c>
      <c r="C1128" s="1" t="s">
        <v>27</v>
      </c>
      <c r="D1128" s="1" t="s">
        <v>28</v>
      </c>
      <c r="E1128" s="1" t="s">
        <v>21</v>
      </c>
      <c r="F1128" s="1"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row>
    <row r="1129" spans="1:17" ht="12.5" x14ac:dyDescent="0.25">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ht="12.5" x14ac:dyDescent="0.25">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ht="12.5" x14ac:dyDescent="0.25">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ht="12.5" x14ac:dyDescent="0.25">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ht="12.5" x14ac:dyDescent="0.25">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ht="12.5" x14ac:dyDescent="0.25">
      <c r="A1134" s="1" t="s">
        <v>1221</v>
      </c>
      <c r="B1134" s="1" t="s">
        <v>54</v>
      </c>
      <c r="C1134" s="1" t="s">
        <v>25</v>
      </c>
      <c r="D1134" s="1" t="s">
        <v>28</v>
      </c>
      <c r="E1134" s="1" t="s">
        <v>21</v>
      </c>
      <c r="F1134" s="1"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row>
    <row r="1135" spans="1:17" ht="12.5" x14ac:dyDescent="0.25">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ht="12.5" x14ac:dyDescent="0.25">
      <c r="A1136" s="1" t="s">
        <v>1223</v>
      </c>
      <c r="B1136" s="1" t="s">
        <v>54</v>
      </c>
      <c r="C1136" s="1" t="s">
        <v>19</v>
      </c>
      <c r="D1136" s="1" t="s">
        <v>28</v>
      </c>
      <c r="E1136" s="1" t="s">
        <v>21</v>
      </c>
      <c r="F1136" s="1"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row>
    <row r="1137" spans="1:17" ht="12.5" x14ac:dyDescent="0.25">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ht="12.5" x14ac:dyDescent="0.25">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ht="12.5" x14ac:dyDescent="0.25">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ht="12.5" x14ac:dyDescent="0.25">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ht="12.5" x14ac:dyDescent="0.25">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ht="12.5" x14ac:dyDescent="0.25">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ht="12.5" x14ac:dyDescent="0.25">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ht="12.5" x14ac:dyDescent="0.25">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ht="12.5" x14ac:dyDescent="0.25">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ht="12.5" x14ac:dyDescent="0.25">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ht="12.5" x14ac:dyDescent="0.25">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ht="12.5" x14ac:dyDescent="0.25">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ht="12.5" x14ac:dyDescent="0.25">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ht="12.5" x14ac:dyDescent="0.25">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ht="12.5" x14ac:dyDescent="0.25">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ht="12.5" x14ac:dyDescent="0.25">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ht="12.5" x14ac:dyDescent="0.25">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ht="12.5" x14ac:dyDescent="0.25">
      <c r="A1154" s="1" t="s">
        <v>1241</v>
      </c>
      <c r="B1154" s="1" t="s">
        <v>54</v>
      </c>
      <c r="C1154" s="1" t="s">
        <v>25</v>
      </c>
      <c r="D1154" s="1" t="s">
        <v>20</v>
      </c>
      <c r="E1154" s="1" t="s">
        <v>21</v>
      </c>
      <c r="F1154" s="1"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row>
    <row r="1155" spans="1:17" ht="12.5" x14ac:dyDescent="0.25">
      <c r="A1155" s="1" t="s">
        <v>1242</v>
      </c>
      <c r="B1155" s="1" t="s">
        <v>18</v>
      </c>
      <c r="C1155" s="1" t="s">
        <v>25</v>
      </c>
      <c r="D1155" s="1" t="s">
        <v>20</v>
      </c>
      <c r="E1155" s="1" t="s">
        <v>29</v>
      </c>
      <c r="F1155" s="1"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row>
    <row r="1156" spans="1:17" ht="12.5" x14ac:dyDescent="0.25">
      <c r="A1156" s="1" t="s">
        <v>1243</v>
      </c>
      <c r="B1156" s="1" t="s">
        <v>54</v>
      </c>
      <c r="C1156" s="1" t="s">
        <v>25</v>
      </c>
      <c r="D1156" s="1" t="s">
        <v>28</v>
      </c>
      <c r="E1156" s="1" t="s">
        <v>21</v>
      </c>
      <c r="F1156" s="1"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row>
    <row r="1157" spans="1:17" ht="12.5" x14ac:dyDescent="0.25">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ht="12.5" x14ac:dyDescent="0.25">
      <c r="A1158" s="1" t="s">
        <v>1245</v>
      </c>
      <c r="B1158" s="1" t="s">
        <v>18</v>
      </c>
      <c r="C1158" s="1" t="s">
        <v>25</v>
      </c>
      <c r="D1158" s="1" t="s">
        <v>28</v>
      </c>
      <c r="E1158" s="1" t="s">
        <v>21</v>
      </c>
      <c r="F1158" s="1"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row>
    <row r="1159" spans="1:17" ht="12.5" x14ac:dyDescent="0.25">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ht="12.5" x14ac:dyDescent="0.25">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ht="12.5" x14ac:dyDescent="0.25">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ht="12.5" x14ac:dyDescent="0.25">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ht="12.5" x14ac:dyDescent="0.25">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ht="12.5" x14ac:dyDescent="0.25">
      <c r="A1164" s="1" t="s">
        <v>1251</v>
      </c>
      <c r="B1164" s="1" t="s">
        <v>18</v>
      </c>
      <c r="C1164" s="1" t="s">
        <v>19</v>
      </c>
      <c r="D1164" s="1" t="s">
        <v>28</v>
      </c>
      <c r="E1164" s="1" t="s">
        <v>21</v>
      </c>
      <c r="F1164" s="1"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row>
    <row r="1165" spans="1:17" ht="12.5" x14ac:dyDescent="0.25">
      <c r="A1165" s="1" t="s">
        <v>1252</v>
      </c>
      <c r="B1165" s="1" t="s">
        <v>18</v>
      </c>
      <c r="C1165" s="1" t="s">
        <v>19</v>
      </c>
      <c r="D1165" s="1" t="s">
        <v>20</v>
      </c>
      <c r="E1165" s="1" t="s">
        <v>21</v>
      </c>
      <c r="F1165" s="1"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row>
    <row r="1166" spans="1:17" ht="12.5" x14ac:dyDescent="0.25">
      <c r="A1166" s="1" t="s">
        <v>1253</v>
      </c>
      <c r="B1166" s="1" t="s">
        <v>33</v>
      </c>
      <c r="C1166" s="1" t="s">
        <v>19</v>
      </c>
      <c r="D1166" s="1" t="s">
        <v>20</v>
      </c>
      <c r="E1166" s="1" t="s">
        <v>21</v>
      </c>
      <c r="F1166" s="1"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row>
    <row r="1167" spans="1:17" ht="12.5" x14ac:dyDescent="0.25">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ht="12.5" x14ac:dyDescent="0.25">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ht="12.5" x14ac:dyDescent="0.25">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ht="12.5" x14ac:dyDescent="0.25">
      <c r="A1170" s="1" t="s">
        <v>1257</v>
      </c>
      <c r="B1170" s="1" t="s">
        <v>18</v>
      </c>
      <c r="C1170" s="1" t="s">
        <v>25</v>
      </c>
      <c r="D1170" s="1" t="s">
        <v>28</v>
      </c>
      <c r="E1170" s="1" t="s">
        <v>21</v>
      </c>
      <c r="F1170" s="1"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row>
    <row r="1171" spans="1:17" ht="12.5" x14ac:dyDescent="0.25">
      <c r="A1171" s="1" t="s">
        <v>1258</v>
      </c>
      <c r="B1171" s="1" t="s">
        <v>18</v>
      </c>
      <c r="C1171" s="1" t="s">
        <v>19</v>
      </c>
      <c r="D1171" s="1" t="s">
        <v>28</v>
      </c>
      <c r="E1171" s="1" t="s">
        <v>21</v>
      </c>
      <c r="F1171" s="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row>
    <row r="1172" spans="1:17" ht="12.5" x14ac:dyDescent="0.25">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ht="12.5" x14ac:dyDescent="0.25">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ht="12.5" x14ac:dyDescent="0.25">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ht="12.5" x14ac:dyDescent="0.25">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ht="12.5" x14ac:dyDescent="0.25">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ht="12.5" x14ac:dyDescent="0.25">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ht="12.5" x14ac:dyDescent="0.25">
      <c r="A1178" s="1" t="s">
        <v>1265</v>
      </c>
      <c r="B1178" s="1" t="s">
        <v>33</v>
      </c>
      <c r="C1178" s="1" t="s">
        <v>25</v>
      </c>
      <c r="D1178" s="1" t="s">
        <v>20</v>
      </c>
      <c r="E1178" s="1" t="s">
        <v>21</v>
      </c>
      <c r="F1178" s="1"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row>
    <row r="1179" spans="1:17" ht="12.5" x14ac:dyDescent="0.25">
      <c r="A1179" s="1" t="s">
        <v>1266</v>
      </c>
      <c r="B1179" s="1" t="s">
        <v>18</v>
      </c>
      <c r="C1179" s="1" t="s">
        <v>25</v>
      </c>
      <c r="D1179" s="1" t="s">
        <v>20</v>
      </c>
      <c r="E1179" s="1" t="s">
        <v>29</v>
      </c>
      <c r="F1179" s="1"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row>
    <row r="1180" spans="1:17" ht="12.5" x14ac:dyDescent="0.25">
      <c r="A1180" s="1" t="s">
        <v>1267</v>
      </c>
      <c r="B1180" s="1" t="s">
        <v>18</v>
      </c>
      <c r="C1180" s="1" t="s">
        <v>19</v>
      </c>
      <c r="D1180" s="1" t="s">
        <v>20</v>
      </c>
      <c r="E1180" s="1" t="s">
        <v>21</v>
      </c>
      <c r="F1180" s="1"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row>
    <row r="1181" spans="1:17" ht="12.5" x14ac:dyDescent="0.25">
      <c r="A1181" s="1" t="s">
        <v>1268</v>
      </c>
      <c r="B1181" s="1" t="s">
        <v>18</v>
      </c>
      <c r="C1181" s="1" t="s">
        <v>25</v>
      </c>
      <c r="D1181" s="1" t="s">
        <v>20</v>
      </c>
      <c r="E1181" s="1" t="s">
        <v>21</v>
      </c>
      <c r="F1181" s="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row>
    <row r="1182" spans="1:17" ht="12.5" x14ac:dyDescent="0.25">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ht="12.5" x14ac:dyDescent="0.25">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ht="12.5" x14ac:dyDescent="0.25">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ht="12.5" x14ac:dyDescent="0.25">
      <c r="A1185" s="1" t="s">
        <v>1272</v>
      </c>
      <c r="B1185" s="1" t="s">
        <v>54</v>
      </c>
      <c r="C1185" s="1" t="s">
        <v>25</v>
      </c>
      <c r="D1185" s="1" t="s">
        <v>20</v>
      </c>
      <c r="E1185" s="1" t="s">
        <v>29</v>
      </c>
      <c r="F1185" s="1"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row>
    <row r="1186" spans="1:17" ht="12.5" x14ac:dyDescent="0.25">
      <c r="A1186" s="1" t="s">
        <v>1273</v>
      </c>
      <c r="B1186" s="1" t="s">
        <v>18</v>
      </c>
      <c r="C1186" s="1" t="s">
        <v>25</v>
      </c>
      <c r="D1186" s="1" t="s">
        <v>20</v>
      </c>
      <c r="E1186" s="1" t="s">
        <v>21</v>
      </c>
      <c r="F1186" s="1"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row>
    <row r="1187" spans="1:17" ht="12.5" x14ac:dyDescent="0.25">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ht="12.5" x14ac:dyDescent="0.25">
      <c r="A1188" s="1" t="s">
        <v>1275</v>
      </c>
      <c r="B1188" s="1" t="s">
        <v>18</v>
      </c>
      <c r="C1188" s="1" t="s">
        <v>19</v>
      </c>
      <c r="D1188" s="1" t="s">
        <v>28</v>
      </c>
      <c r="E1188" s="1" t="s">
        <v>21</v>
      </c>
      <c r="F1188" s="1"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row>
    <row r="1189" spans="1:17" ht="12.5" x14ac:dyDescent="0.25">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ht="12.5" x14ac:dyDescent="0.25">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ht="12.5" x14ac:dyDescent="0.25">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ht="12.5" x14ac:dyDescent="0.25">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ht="12.5" x14ac:dyDescent="0.25">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ht="12.5" x14ac:dyDescent="0.25">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ht="12.5" x14ac:dyDescent="0.25">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ht="12.5" x14ac:dyDescent="0.25">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ht="12.5" x14ac:dyDescent="0.25">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ht="12.5" x14ac:dyDescent="0.25">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ht="12.5" x14ac:dyDescent="0.25">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ht="12.5" x14ac:dyDescent="0.25">
      <c r="A1200" s="1" t="s">
        <v>1287</v>
      </c>
      <c r="B1200" s="1" t="s">
        <v>18</v>
      </c>
      <c r="C1200" s="1" t="s">
        <v>27</v>
      </c>
      <c r="D1200" s="1" t="s">
        <v>20</v>
      </c>
      <c r="E1200" s="1" t="s">
        <v>21</v>
      </c>
      <c r="F1200" s="1" t="s">
        <v>39</v>
      </c>
      <c r="G1200" s="1">
        <v>48.5</v>
      </c>
      <c r="H1200" s="1">
        <v>6</v>
      </c>
      <c r="I1200" s="1">
        <v>14.55</v>
      </c>
      <c r="J1200" s="1">
        <v>305.55</v>
      </c>
      <c r="K1200" s="4">
        <v>43770</v>
      </c>
      <c r="L1200" s="3">
        <v>0.58125000000000004</v>
      </c>
      <c r="M1200" s="1" t="s">
        <v>40</v>
      </c>
      <c r="N1200" s="1">
        <v>291</v>
      </c>
      <c r="O1200" s="1">
        <v>4.7619047620000003</v>
      </c>
      <c r="P1200" s="1">
        <v>14.55</v>
      </c>
      <c r="Q1200" s="1">
        <v>9.4</v>
      </c>
    </row>
    <row r="1201" spans="1:17" ht="12.5" x14ac:dyDescent="0.25">
      <c r="A1201" s="1" t="s">
        <v>1288</v>
      </c>
      <c r="B1201" s="1" t="s">
        <v>33</v>
      </c>
      <c r="C1201" s="1" t="s">
        <v>27</v>
      </c>
      <c r="D1201" s="1" t="s">
        <v>20</v>
      </c>
      <c r="E1201" s="1" t="s">
        <v>21</v>
      </c>
      <c r="F1201" s="1" t="s">
        <v>39</v>
      </c>
      <c r="G1201" s="1">
        <v>48.5</v>
      </c>
      <c r="H1201" s="1">
        <v>6</v>
      </c>
      <c r="I1201" s="1">
        <v>14.55</v>
      </c>
      <c r="J1201" s="1">
        <v>305.55</v>
      </c>
      <c r="K1201" s="4">
        <v>43770</v>
      </c>
      <c r="L1201" s="3">
        <v>0.58125000000000004</v>
      </c>
      <c r="M1201" s="1" t="s">
        <v>40</v>
      </c>
      <c r="N1201" s="1">
        <v>291</v>
      </c>
      <c r="O1201" s="1">
        <v>4.7619047620000003</v>
      </c>
      <c r="P1201" s="1">
        <v>14.55</v>
      </c>
      <c r="Q1201" s="1">
        <v>9.4</v>
      </c>
    </row>
    <row r="1202" spans="1:17" ht="12.5" x14ac:dyDescent="0.25">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ht="12.5" x14ac:dyDescent="0.25">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ht="12.5" x14ac:dyDescent="0.25">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ht="12.5" x14ac:dyDescent="0.25">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ht="12.5" x14ac:dyDescent="0.25">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ht="12.5" x14ac:dyDescent="0.25">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ht="12.5" x14ac:dyDescent="0.25">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ht="12.5" x14ac:dyDescent="0.25">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ht="12.5" x14ac:dyDescent="0.25">
      <c r="A1210" s="1" t="s">
        <v>1297</v>
      </c>
      <c r="B1210" s="1" t="s">
        <v>33</v>
      </c>
      <c r="C1210" s="1" t="s">
        <v>27</v>
      </c>
      <c r="D1210" s="1" t="s">
        <v>28</v>
      </c>
      <c r="E1210" s="1" t="s">
        <v>21</v>
      </c>
      <c r="F1210" s="1"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row>
    <row r="1211" spans="1:17" ht="12.5" x14ac:dyDescent="0.25">
      <c r="A1211" s="1" t="s">
        <v>1298</v>
      </c>
      <c r="B1211" s="1" t="s">
        <v>18</v>
      </c>
      <c r="C1211" s="1" t="s">
        <v>27</v>
      </c>
      <c r="D1211" s="1" t="s">
        <v>28</v>
      </c>
      <c r="E1211" s="1" t="s">
        <v>29</v>
      </c>
      <c r="F1211" s="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row>
    <row r="1212" spans="1:17" ht="12.5" x14ac:dyDescent="0.25">
      <c r="A1212" s="1" t="s">
        <v>1299</v>
      </c>
      <c r="B1212" s="1" t="s">
        <v>33</v>
      </c>
      <c r="C1212" s="1" t="s">
        <v>19</v>
      </c>
      <c r="D1212" s="1" t="s">
        <v>28</v>
      </c>
      <c r="E1212" s="1" t="s">
        <v>21</v>
      </c>
      <c r="F1212" s="1"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row>
    <row r="1213" spans="1:17" ht="12.5" x14ac:dyDescent="0.25">
      <c r="A1213" s="1" t="s">
        <v>1300</v>
      </c>
      <c r="B1213" s="1" t="s">
        <v>18</v>
      </c>
      <c r="C1213" s="1" t="s">
        <v>19</v>
      </c>
      <c r="D1213" s="1" t="s">
        <v>28</v>
      </c>
      <c r="E1213" s="1" t="s">
        <v>29</v>
      </c>
      <c r="F1213" s="1"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row>
    <row r="1214" spans="1:17" ht="12.5" x14ac:dyDescent="0.25">
      <c r="A1214" s="1" t="s">
        <v>1301</v>
      </c>
      <c r="B1214" s="1" t="s">
        <v>18</v>
      </c>
      <c r="C1214" s="1" t="s">
        <v>19</v>
      </c>
      <c r="D1214" s="1" t="s">
        <v>20</v>
      </c>
      <c r="E1214" s="1" t="s">
        <v>21</v>
      </c>
      <c r="F1214" s="1"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row>
    <row r="1215" spans="1:17" ht="12.5" x14ac:dyDescent="0.25">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ht="12.5" x14ac:dyDescent="0.25">
      <c r="A1216" s="1" t="s">
        <v>1303</v>
      </c>
      <c r="B1216" s="1" t="s">
        <v>18</v>
      </c>
      <c r="C1216" s="1" t="s">
        <v>19</v>
      </c>
      <c r="D1216" s="1" t="s">
        <v>28</v>
      </c>
      <c r="E1216" s="1" t="s">
        <v>29</v>
      </c>
      <c r="F1216" s="1" t="s">
        <v>22</v>
      </c>
      <c r="G1216" s="1">
        <v>73.95</v>
      </c>
      <c r="H1216" s="1">
        <v>4</v>
      </c>
      <c r="I1216" s="1">
        <v>14.79</v>
      </c>
      <c r="J1216" s="1">
        <v>310.58999999999997</v>
      </c>
      <c r="K1216" s="4">
        <v>43526</v>
      </c>
      <c r="L1216" s="3">
        <v>0.41805555555555557</v>
      </c>
      <c r="M1216" s="1" t="s">
        <v>23</v>
      </c>
      <c r="N1216" s="1">
        <v>295.8</v>
      </c>
      <c r="O1216" s="1">
        <v>4.7619047620000003</v>
      </c>
      <c r="P1216" s="1">
        <v>14.79</v>
      </c>
      <c r="Q1216" s="1">
        <v>6.1</v>
      </c>
    </row>
    <row r="1217" spans="1:17" ht="12.5" x14ac:dyDescent="0.25">
      <c r="A1217" s="1" t="s">
        <v>1304</v>
      </c>
      <c r="B1217" s="1" t="s">
        <v>18</v>
      </c>
      <c r="C1217" s="1" t="s">
        <v>19</v>
      </c>
      <c r="D1217" s="1" t="s">
        <v>28</v>
      </c>
      <c r="E1217" s="1" t="s">
        <v>21</v>
      </c>
      <c r="F1217" s="1" t="s">
        <v>22</v>
      </c>
      <c r="G1217" s="1">
        <v>73.95</v>
      </c>
      <c r="H1217" s="1">
        <v>4</v>
      </c>
      <c r="I1217" s="1">
        <v>14.79</v>
      </c>
      <c r="J1217" s="1">
        <v>310.58999999999997</v>
      </c>
      <c r="K1217" s="4">
        <v>43526</v>
      </c>
      <c r="L1217" s="3">
        <v>0.41805555555555557</v>
      </c>
      <c r="M1217" s="1" t="s">
        <v>23</v>
      </c>
      <c r="N1217" s="1">
        <v>295.8</v>
      </c>
      <c r="O1217" s="1">
        <v>4.7619047620000003</v>
      </c>
      <c r="P1217" s="1">
        <v>14.79</v>
      </c>
      <c r="Q1217" s="1">
        <v>6.1</v>
      </c>
    </row>
    <row r="1218" spans="1:17" ht="12.5" x14ac:dyDescent="0.25">
      <c r="A1218" s="1" t="s">
        <v>1305</v>
      </c>
      <c r="B1218" s="1" t="s">
        <v>18</v>
      </c>
      <c r="C1218" s="1" t="s">
        <v>19</v>
      </c>
      <c r="D1218" s="1" t="s">
        <v>28</v>
      </c>
      <c r="E1218" s="1" t="s">
        <v>29</v>
      </c>
      <c r="F1218" s="1" t="s">
        <v>22</v>
      </c>
      <c r="G1218" s="1">
        <v>73.95</v>
      </c>
      <c r="H1218" s="1">
        <v>4</v>
      </c>
      <c r="I1218" s="1">
        <v>14.79</v>
      </c>
      <c r="J1218" s="1">
        <v>310.58999999999997</v>
      </c>
      <c r="K1218" s="4">
        <v>43526</v>
      </c>
      <c r="L1218" s="3">
        <v>0.41805555555555557</v>
      </c>
      <c r="M1218" s="1" t="s">
        <v>23</v>
      </c>
      <c r="N1218" s="1">
        <v>295.8</v>
      </c>
      <c r="O1218" s="1">
        <v>4.7619047620000003</v>
      </c>
      <c r="P1218" s="1">
        <v>14.79</v>
      </c>
      <c r="Q1218" s="1">
        <v>6.1</v>
      </c>
    </row>
    <row r="1219" spans="1:17" ht="12.5" x14ac:dyDescent="0.25">
      <c r="A1219" s="1" t="s">
        <v>1306</v>
      </c>
      <c r="B1219" s="1" t="s">
        <v>18</v>
      </c>
      <c r="C1219" s="1" t="s">
        <v>19</v>
      </c>
      <c r="D1219" s="1" t="s">
        <v>28</v>
      </c>
      <c r="E1219" s="1" t="s">
        <v>21</v>
      </c>
      <c r="F1219" s="1"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row>
    <row r="1220" spans="1:17" ht="12.5" x14ac:dyDescent="0.25">
      <c r="A1220" s="1" t="s">
        <v>1307</v>
      </c>
      <c r="B1220" s="1" t="s">
        <v>18</v>
      </c>
      <c r="C1220" s="1" t="s">
        <v>19</v>
      </c>
      <c r="D1220" s="1" t="s">
        <v>28</v>
      </c>
      <c r="E1220" s="1" t="s">
        <v>29</v>
      </c>
      <c r="F1220" s="1"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row>
    <row r="1221" spans="1:17" ht="12.5" x14ac:dyDescent="0.25">
      <c r="A1221" s="1" t="s">
        <v>1308</v>
      </c>
      <c r="B1221" s="1" t="s">
        <v>18</v>
      </c>
      <c r="C1221" s="1" t="s">
        <v>25</v>
      </c>
      <c r="D1221" s="1" t="s">
        <v>28</v>
      </c>
      <c r="E1221" s="1" t="s">
        <v>29</v>
      </c>
      <c r="F1221" s="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row>
    <row r="1222" spans="1:17" ht="12.5" x14ac:dyDescent="0.25">
      <c r="A1222" s="1" t="s">
        <v>1309</v>
      </c>
      <c r="B1222" s="1" t="s">
        <v>18</v>
      </c>
      <c r="C1222" s="1" t="s">
        <v>19</v>
      </c>
      <c r="D1222" s="1" t="s">
        <v>28</v>
      </c>
      <c r="E1222" s="1" t="s">
        <v>29</v>
      </c>
      <c r="F1222" s="1"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row>
    <row r="1223" spans="1:17" ht="12.5" x14ac:dyDescent="0.25">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ht="12.5" x14ac:dyDescent="0.25">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ht="12.5" x14ac:dyDescent="0.25">
      <c r="A1225" s="1" t="s">
        <v>1312</v>
      </c>
      <c r="B1225" s="1" t="s">
        <v>33</v>
      </c>
      <c r="C1225" s="1" t="s">
        <v>27</v>
      </c>
      <c r="D1225" s="1" t="s">
        <v>28</v>
      </c>
      <c r="E1225" s="1" t="s">
        <v>29</v>
      </c>
      <c r="F1225" s="1" t="s">
        <v>39</v>
      </c>
      <c r="G1225" s="1">
        <v>42.57</v>
      </c>
      <c r="H1225" s="1">
        <v>7</v>
      </c>
      <c r="I1225" s="1">
        <v>14.8995</v>
      </c>
      <c r="J1225" s="1">
        <v>312.8895</v>
      </c>
      <c r="K1225" s="4">
        <v>43617</v>
      </c>
      <c r="L1225" s="3">
        <v>0.49375000000000002</v>
      </c>
      <c r="M1225" s="1" t="s">
        <v>23</v>
      </c>
      <c r="N1225" s="1">
        <v>297.99</v>
      </c>
      <c r="O1225" s="1">
        <v>4.7619047620000003</v>
      </c>
      <c r="P1225" s="1">
        <v>14.8995</v>
      </c>
      <c r="Q1225" s="1">
        <v>6.8</v>
      </c>
    </row>
    <row r="1226" spans="1:17" ht="12.5" x14ac:dyDescent="0.25">
      <c r="A1226" s="1" t="s">
        <v>1313</v>
      </c>
      <c r="B1226" s="1" t="s">
        <v>33</v>
      </c>
      <c r="C1226" s="1" t="s">
        <v>25</v>
      </c>
      <c r="D1226" s="1" t="s">
        <v>28</v>
      </c>
      <c r="E1226" s="1" t="s">
        <v>29</v>
      </c>
      <c r="F1226" s="1" t="s">
        <v>39</v>
      </c>
      <c r="G1226" s="1">
        <v>74.66</v>
      </c>
      <c r="H1226" s="1">
        <v>4</v>
      </c>
      <c r="I1226" s="1">
        <v>14.932</v>
      </c>
      <c r="J1226" s="1">
        <v>313.572</v>
      </c>
      <c r="K1226" s="4">
        <v>43558</v>
      </c>
      <c r="L1226" s="3">
        <v>0.44374999999999998</v>
      </c>
      <c r="M1226" s="1" t="s">
        <v>23</v>
      </c>
      <c r="N1226" s="1">
        <v>298.64</v>
      </c>
      <c r="O1226" s="1">
        <v>4.7619047620000003</v>
      </c>
      <c r="P1226" s="1">
        <v>14.932</v>
      </c>
      <c r="Q1226" s="1">
        <v>8.5</v>
      </c>
    </row>
    <row r="1227" spans="1:17" ht="12.5" x14ac:dyDescent="0.25">
      <c r="A1227" s="1" t="s">
        <v>1314</v>
      </c>
      <c r="B1227" s="1" t="s">
        <v>33</v>
      </c>
      <c r="C1227" s="1" t="s">
        <v>27</v>
      </c>
      <c r="D1227" s="1" t="s">
        <v>28</v>
      </c>
      <c r="E1227" s="1" t="s">
        <v>21</v>
      </c>
      <c r="F1227" s="1" t="s">
        <v>39</v>
      </c>
      <c r="G1227" s="1">
        <v>74.66</v>
      </c>
      <c r="H1227" s="1">
        <v>4</v>
      </c>
      <c r="I1227" s="1">
        <v>14.932</v>
      </c>
      <c r="J1227" s="1">
        <v>313.572</v>
      </c>
      <c r="K1227" s="4">
        <v>43558</v>
      </c>
      <c r="L1227" s="3">
        <v>0.44374999999999998</v>
      </c>
      <c r="M1227" s="1" t="s">
        <v>23</v>
      </c>
      <c r="N1227" s="1">
        <v>298.64</v>
      </c>
      <c r="O1227" s="1">
        <v>4.7619047620000003</v>
      </c>
      <c r="P1227" s="1">
        <v>14.932</v>
      </c>
      <c r="Q1227" s="1">
        <v>8.5</v>
      </c>
    </row>
    <row r="1228" spans="1:17" ht="12.5" x14ac:dyDescent="0.25">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ht="12.5" x14ac:dyDescent="0.25">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ht="12.5" x14ac:dyDescent="0.25">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ht="12.5" x14ac:dyDescent="0.25">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ht="12.5" x14ac:dyDescent="0.25">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ht="12.5" x14ac:dyDescent="0.25">
      <c r="A1233" s="1" t="s">
        <v>1320</v>
      </c>
      <c r="B1233" s="1" t="s">
        <v>18</v>
      </c>
      <c r="C1233" s="1" t="s">
        <v>25</v>
      </c>
      <c r="D1233" s="1" t="s">
        <v>20</v>
      </c>
      <c r="E1233" s="1" t="s">
        <v>29</v>
      </c>
      <c r="F1233" s="1"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row>
    <row r="1234" spans="1:17" ht="12.5" x14ac:dyDescent="0.25">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ht="12.5" x14ac:dyDescent="0.25">
      <c r="A1235" s="1" t="s">
        <v>1322</v>
      </c>
      <c r="B1235" s="1" t="s">
        <v>33</v>
      </c>
      <c r="C1235" s="1" t="s">
        <v>27</v>
      </c>
      <c r="D1235" s="1" t="s">
        <v>28</v>
      </c>
      <c r="E1235" s="1" t="s">
        <v>29</v>
      </c>
      <c r="F1235" s="1"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row>
    <row r="1236" spans="1:17" ht="12.5" x14ac:dyDescent="0.25">
      <c r="A1236" s="1" t="s">
        <v>1323</v>
      </c>
      <c r="B1236" s="1" t="s">
        <v>33</v>
      </c>
      <c r="C1236" s="1" t="s">
        <v>27</v>
      </c>
      <c r="D1236" s="1" t="s">
        <v>20</v>
      </c>
      <c r="E1236" s="1" t="s">
        <v>21</v>
      </c>
      <c r="F1236" s="1"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row>
    <row r="1237" spans="1:17" ht="12.5" x14ac:dyDescent="0.25">
      <c r="A1237" s="1" t="s">
        <v>1324</v>
      </c>
      <c r="B1237" s="1" t="s">
        <v>33</v>
      </c>
      <c r="C1237" s="1" t="s">
        <v>27</v>
      </c>
      <c r="D1237" s="1" t="s">
        <v>20</v>
      </c>
      <c r="E1237" s="1" t="s">
        <v>21</v>
      </c>
      <c r="F1237" s="1"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row>
    <row r="1238" spans="1:17" ht="12.5" x14ac:dyDescent="0.25">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ht="12.5" x14ac:dyDescent="0.25">
      <c r="A1239" s="1" t="s">
        <v>1326</v>
      </c>
      <c r="B1239" s="1" t="s">
        <v>54</v>
      </c>
      <c r="C1239" s="1" t="s">
        <v>25</v>
      </c>
      <c r="D1239" s="1" t="s">
        <v>20</v>
      </c>
      <c r="E1239" s="1" t="s">
        <v>21</v>
      </c>
      <c r="F1239" s="1"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row>
    <row r="1240" spans="1:17" ht="12.5" x14ac:dyDescent="0.25">
      <c r="A1240" s="1" t="s">
        <v>1327</v>
      </c>
      <c r="B1240" s="1" t="s">
        <v>54</v>
      </c>
      <c r="C1240" s="1" t="s">
        <v>25</v>
      </c>
      <c r="D1240" s="1" t="s">
        <v>20</v>
      </c>
      <c r="E1240" s="1" t="s">
        <v>21</v>
      </c>
      <c r="F1240" s="1"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row>
    <row r="1241" spans="1:17" ht="12.5" x14ac:dyDescent="0.25">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ht="12.5" x14ac:dyDescent="0.25">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ht="12.5" x14ac:dyDescent="0.25">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ht="12.5" x14ac:dyDescent="0.25">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ht="12.5" x14ac:dyDescent="0.25">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ht="12.5" x14ac:dyDescent="0.25">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ht="12.5" x14ac:dyDescent="0.25">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ht="12.5" x14ac:dyDescent="0.25">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ht="12.5" x14ac:dyDescent="0.25">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ht="12.5" x14ac:dyDescent="0.25">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ht="12.5" x14ac:dyDescent="0.25">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ht="12.5" x14ac:dyDescent="0.25">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ht="12.5" x14ac:dyDescent="0.25">
      <c r="A1253" s="1" t="s">
        <v>1340</v>
      </c>
      <c r="B1253" s="1" t="s">
        <v>33</v>
      </c>
      <c r="C1253" s="1" t="s">
        <v>19</v>
      </c>
      <c r="D1253" s="1" t="s">
        <v>28</v>
      </c>
      <c r="E1253" s="1" t="s">
        <v>29</v>
      </c>
      <c r="F1253" s="1"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row>
    <row r="1254" spans="1:17" ht="12.5" x14ac:dyDescent="0.25">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ht="12.5" x14ac:dyDescent="0.25">
      <c r="A1255" s="1" t="s">
        <v>1342</v>
      </c>
      <c r="B1255" s="1" t="s">
        <v>18</v>
      </c>
      <c r="C1255" s="1" t="s">
        <v>19</v>
      </c>
      <c r="D1255" s="1" t="s">
        <v>20</v>
      </c>
      <c r="E1255" s="1" t="s">
        <v>29</v>
      </c>
      <c r="F1255" s="1"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row>
    <row r="1256" spans="1:17" ht="12.5" x14ac:dyDescent="0.25">
      <c r="A1256" s="1" t="s">
        <v>1343</v>
      </c>
      <c r="B1256" s="1" t="s">
        <v>18</v>
      </c>
      <c r="C1256" s="1" t="s">
        <v>19</v>
      </c>
      <c r="D1256" s="1" t="s">
        <v>28</v>
      </c>
      <c r="E1256" s="1" t="s">
        <v>29</v>
      </c>
      <c r="F1256" s="1"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row>
    <row r="1257" spans="1:17" ht="12.5" x14ac:dyDescent="0.25">
      <c r="A1257" s="1" t="s">
        <v>1344</v>
      </c>
      <c r="B1257" s="1" t="s">
        <v>33</v>
      </c>
      <c r="C1257" s="1" t="s">
        <v>19</v>
      </c>
      <c r="D1257" s="1" t="s">
        <v>20</v>
      </c>
      <c r="E1257" s="1" t="s">
        <v>21</v>
      </c>
      <c r="F1257" s="1"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row>
    <row r="1258" spans="1:17" ht="12.5" x14ac:dyDescent="0.25">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ht="12.5" x14ac:dyDescent="0.25">
      <c r="A1259" s="1" t="s">
        <v>1346</v>
      </c>
      <c r="B1259" s="1" t="s">
        <v>33</v>
      </c>
      <c r="C1259" s="1" t="s">
        <v>19</v>
      </c>
      <c r="D1259" s="1" t="s">
        <v>20</v>
      </c>
      <c r="E1259" s="1" t="s">
        <v>21</v>
      </c>
      <c r="F1259" s="1"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row>
    <row r="1260" spans="1:17" ht="12.5" x14ac:dyDescent="0.25">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ht="12.5" x14ac:dyDescent="0.25">
      <c r="A1261" s="1" t="s">
        <v>1348</v>
      </c>
      <c r="B1261" s="1" t="s">
        <v>33</v>
      </c>
      <c r="C1261" s="1" t="s">
        <v>19</v>
      </c>
      <c r="D1261" s="1" t="s">
        <v>20</v>
      </c>
      <c r="E1261" s="1" t="s">
        <v>21</v>
      </c>
      <c r="F1261" s="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row>
    <row r="1262" spans="1:17" ht="12.5" x14ac:dyDescent="0.25">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ht="12.5" x14ac:dyDescent="0.25">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ht="12.5" x14ac:dyDescent="0.25">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ht="12.5" x14ac:dyDescent="0.25">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ht="12.5" x14ac:dyDescent="0.25">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ht="12.5" x14ac:dyDescent="0.25">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ht="12.5" x14ac:dyDescent="0.25">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ht="12.5" x14ac:dyDescent="0.25">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ht="12.5" x14ac:dyDescent="0.25">
      <c r="A1270" s="1" t="s">
        <v>1357</v>
      </c>
      <c r="B1270" s="1" t="s">
        <v>54</v>
      </c>
      <c r="C1270" s="1" t="s">
        <v>19</v>
      </c>
      <c r="D1270" s="1" t="s">
        <v>20</v>
      </c>
      <c r="E1270" s="1" t="s">
        <v>29</v>
      </c>
      <c r="F1270" s="1"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row>
    <row r="1271" spans="1:17" ht="12.5" x14ac:dyDescent="0.25">
      <c r="A1271" s="1" t="s">
        <v>1358</v>
      </c>
      <c r="B1271" s="1" t="s">
        <v>54</v>
      </c>
      <c r="C1271" s="1" t="s">
        <v>19</v>
      </c>
      <c r="D1271" s="1" t="s">
        <v>28</v>
      </c>
      <c r="E1271" s="1" t="s">
        <v>29</v>
      </c>
      <c r="F1271" s="1" t="s">
        <v>30</v>
      </c>
      <c r="G1271" s="1">
        <v>63.71</v>
      </c>
      <c r="H1271" s="1">
        <v>5</v>
      </c>
      <c r="I1271" s="1">
        <v>15.9275</v>
      </c>
      <c r="J1271" s="1">
        <v>334.47750000000002</v>
      </c>
      <c r="K1271" s="4">
        <v>43648</v>
      </c>
      <c r="L1271" s="3">
        <v>0.8125</v>
      </c>
      <c r="M1271" s="1" t="s">
        <v>23</v>
      </c>
      <c r="N1271" s="1">
        <v>318.55</v>
      </c>
      <c r="O1271" s="1">
        <v>4.7619047620000003</v>
      </c>
      <c r="P1271" s="1">
        <v>15.9275</v>
      </c>
      <c r="Q1271" s="1">
        <v>8.5</v>
      </c>
    </row>
    <row r="1272" spans="1:17" ht="12.5" x14ac:dyDescent="0.25">
      <c r="A1272" s="1" t="s">
        <v>1359</v>
      </c>
      <c r="B1272" s="1" t="s">
        <v>18</v>
      </c>
      <c r="C1272" s="1" t="s">
        <v>19</v>
      </c>
      <c r="D1272" s="1" t="s">
        <v>28</v>
      </c>
      <c r="E1272" s="1" t="s">
        <v>29</v>
      </c>
      <c r="F1272" s="1" t="s">
        <v>39</v>
      </c>
      <c r="G1272" s="1">
        <v>63.71</v>
      </c>
      <c r="H1272" s="1">
        <v>5</v>
      </c>
      <c r="I1272" s="1">
        <v>15.9275</v>
      </c>
      <c r="J1272" s="1">
        <v>334.47750000000002</v>
      </c>
      <c r="K1272" s="4">
        <v>43648</v>
      </c>
      <c r="L1272" s="3">
        <v>0.8125</v>
      </c>
      <c r="M1272" s="1" t="s">
        <v>23</v>
      </c>
      <c r="N1272" s="1">
        <v>318.55</v>
      </c>
      <c r="O1272" s="1">
        <v>4.7619047620000003</v>
      </c>
      <c r="P1272" s="1">
        <v>15.9275</v>
      </c>
      <c r="Q1272" s="1">
        <v>8.5</v>
      </c>
    </row>
    <row r="1273" spans="1:17" ht="12.5" x14ac:dyDescent="0.25">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ht="12.5" x14ac:dyDescent="0.25">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ht="12.5" x14ac:dyDescent="0.25">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ht="12.5" x14ac:dyDescent="0.25">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ht="12.5" x14ac:dyDescent="0.25">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ht="12.5" x14ac:dyDescent="0.25">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ht="12.5" x14ac:dyDescent="0.25">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ht="12.5" x14ac:dyDescent="0.25">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ht="12.5" x14ac:dyDescent="0.25">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ht="12.5" x14ac:dyDescent="0.25">
      <c r="A1282" s="1" t="s">
        <v>1369</v>
      </c>
      <c r="B1282" s="1" t="s">
        <v>18</v>
      </c>
      <c r="C1282" s="1" t="s">
        <v>19</v>
      </c>
      <c r="D1282" s="1" t="s">
        <v>20</v>
      </c>
      <c r="E1282" s="1" t="s">
        <v>29</v>
      </c>
      <c r="F1282" s="1"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row>
    <row r="1283" spans="1:17" ht="12.5" x14ac:dyDescent="0.25">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ht="12.5" x14ac:dyDescent="0.25">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ht="12.5" x14ac:dyDescent="0.25">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ht="12.5" x14ac:dyDescent="0.25">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ht="12.5" x14ac:dyDescent="0.25">
      <c r="A1287" s="1" t="s">
        <v>1374</v>
      </c>
      <c r="B1287" s="1" t="s">
        <v>33</v>
      </c>
      <c r="C1287" s="1" t="s">
        <v>19</v>
      </c>
      <c r="D1287" s="1" t="s">
        <v>28</v>
      </c>
      <c r="E1287" s="1" t="s">
        <v>21</v>
      </c>
      <c r="F1287" s="1"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row>
    <row r="1288" spans="1:17" ht="12.5" x14ac:dyDescent="0.25">
      <c r="A1288" s="1" t="s">
        <v>1375</v>
      </c>
      <c r="B1288" s="1" t="s">
        <v>33</v>
      </c>
      <c r="C1288" s="1" t="s">
        <v>19</v>
      </c>
      <c r="D1288" s="1" t="s">
        <v>28</v>
      </c>
      <c r="E1288" s="1" t="s">
        <v>21</v>
      </c>
      <c r="F1288" s="1"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row>
    <row r="1289" spans="1:17" ht="12.5" x14ac:dyDescent="0.25">
      <c r="A1289" s="1" t="s">
        <v>1376</v>
      </c>
      <c r="B1289" s="1" t="s">
        <v>18</v>
      </c>
      <c r="C1289" s="1" t="s">
        <v>19</v>
      </c>
      <c r="D1289" s="1" t="s">
        <v>20</v>
      </c>
      <c r="E1289" s="1" t="s">
        <v>21</v>
      </c>
      <c r="F1289" s="1"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row>
    <row r="1290" spans="1:17" ht="12.5" x14ac:dyDescent="0.25">
      <c r="A1290" s="1" t="s">
        <v>1377</v>
      </c>
      <c r="B1290" s="1" t="s">
        <v>18</v>
      </c>
      <c r="C1290" s="1" t="s">
        <v>19</v>
      </c>
      <c r="D1290" s="1" t="s">
        <v>20</v>
      </c>
      <c r="E1290" s="1" t="s">
        <v>29</v>
      </c>
      <c r="F1290" s="1"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row>
    <row r="1291" spans="1:17" ht="12.5" x14ac:dyDescent="0.25">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ht="12.5" x14ac:dyDescent="0.25">
      <c r="A1292" s="1" t="s">
        <v>1379</v>
      </c>
      <c r="B1292" s="1" t="s">
        <v>18</v>
      </c>
      <c r="C1292" s="1" t="s">
        <v>19</v>
      </c>
      <c r="D1292" s="1" t="s">
        <v>28</v>
      </c>
      <c r="E1292" s="1" t="s">
        <v>29</v>
      </c>
      <c r="F1292" s="1"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row>
    <row r="1293" spans="1:17" ht="12.5" x14ac:dyDescent="0.25">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ht="12.5" x14ac:dyDescent="0.25">
      <c r="A1294" s="1" t="s">
        <v>1381</v>
      </c>
      <c r="B1294" s="1" t="s">
        <v>18</v>
      </c>
      <c r="C1294" s="1" t="s">
        <v>19</v>
      </c>
      <c r="D1294" s="1" t="s">
        <v>28</v>
      </c>
      <c r="E1294" s="1" t="s">
        <v>21</v>
      </c>
      <c r="F1294" s="1"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row>
    <row r="1295" spans="1:17" ht="12.5" x14ac:dyDescent="0.25">
      <c r="A1295" s="1" t="s">
        <v>1382</v>
      </c>
      <c r="B1295" s="1" t="s">
        <v>18</v>
      </c>
      <c r="C1295" s="1" t="s">
        <v>19</v>
      </c>
      <c r="D1295" s="1" t="s">
        <v>28</v>
      </c>
      <c r="E1295" s="1" t="s">
        <v>29</v>
      </c>
      <c r="F1295" s="1"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row>
    <row r="1296" spans="1:17" ht="12.5" x14ac:dyDescent="0.25">
      <c r="A1296" s="1" t="s">
        <v>1383</v>
      </c>
      <c r="B1296" s="1" t="s">
        <v>18</v>
      </c>
      <c r="C1296" s="1" t="s">
        <v>19</v>
      </c>
      <c r="D1296" s="1" t="s">
        <v>28</v>
      </c>
      <c r="E1296" s="1" t="s">
        <v>21</v>
      </c>
      <c r="F1296" s="1"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row>
    <row r="1297" spans="1:17" ht="12.5" x14ac:dyDescent="0.25">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ht="12.5" x14ac:dyDescent="0.25">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ht="12.5" x14ac:dyDescent="0.25">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ht="12.5" x14ac:dyDescent="0.25">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ht="12.5" x14ac:dyDescent="0.25">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ht="12.5" x14ac:dyDescent="0.25">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ht="12.5" x14ac:dyDescent="0.25">
      <c r="A1303" s="1" t="s">
        <v>1390</v>
      </c>
      <c r="B1303" s="1" t="s">
        <v>18</v>
      </c>
      <c r="C1303" s="1" t="s">
        <v>19</v>
      </c>
      <c r="D1303" s="1" t="s">
        <v>20</v>
      </c>
      <c r="E1303" s="1" t="s">
        <v>21</v>
      </c>
      <c r="F1303" s="1"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row>
    <row r="1304" spans="1:17" ht="12.5" x14ac:dyDescent="0.25">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ht="12.5" x14ac:dyDescent="0.25">
      <c r="A1305" s="1" t="s">
        <v>1392</v>
      </c>
      <c r="B1305" s="1" t="s">
        <v>33</v>
      </c>
      <c r="C1305" s="1" t="s">
        <v>19</v>
      </c>
      <c r="D1305" s="1" t="s">
        <v>20</v>
      </c>
      <c r="E1305" s="1" t="s">
        <v>21</v>
      </c>
      <c r="F1305" s="1"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row>
    <row r="1306" spans="1:17" ht="12.5" x14ac:dyDescent="0.25">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ht="12.5" x14ac:dyDescent="0.25">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ht="12.5" x14ac:dyDescent="0.25">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ht="12.5" x14ac:dyDescent="0.25">
      <c r="A1309" s="1" t="s">
        <v>1396</v>
      </c>
      <c r="B1309" s="1" t="s">
        <v>54</v>
      </c>
      <c r="C1309" s="1" t="s">
        <v>25</v>
      </c>
      <c r="D1309" s="1" t="s">
        <v>20</v>
      </c>
      <c r="E1309" s="1" t="s">
        <v>29</v>
      </c>
      <c r="F1309" s="1"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row>
    <row r="1310" spans="1:17" ht="12.5" x14ac:dyDescent="0.25">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ht="12.5" x14ac:dyDescent="0.25">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ht="12.5" x14ac:dyDescent="0.25">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ht="12.5" x14ac:dyDescent="0.25">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ht="12.5" x14ac:dyDescent="0.25">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ht="12.5" x14ac:dyDescent="0.25">
      <c r="A1315" s="1" t="s">
        <v>1402</v>
      </c>
      <c r="B1315" s="1" t="s">
        <v>33</v>
      </c>
      <c r="C1315" s="1" t="s">
        <v>25</v>
      </c>
      <c r="D1315" s="1" t="s">
        <v>28</v>
      </c>
      <c r="E1315" s="1" t="s">
        <v>29</v>
      </c>
      <c r="F1315" s="1"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row>
    <row r="1316" spans="1:17" ht="12.5" x14ac:dyDescent="0.25">
      <c r="A1316" s="1" t="s">
        <v>1403</v>
      </c>
      <c r="B1316" s="1" t="s">
        <v>18</v>
      </c>
      <c r="C1316" s="1" t="s">
        <v>25</v>
      </c>
      <c r="D1316" s="1" t="s">
        <v>28</v>
      </c>
      <c r="E1316" s="1" t="s">
        <v>21</v>
      </c>
      <c r="F1316" s="1"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row>
    <row r="1317" spans="1:17" ht="12.5" x14ac:dyDescent="0.25">
      <c r="A1317" s="1" t="s">
        <v>1404</v>
      </c>
      <c r="B1317" s="1" t="s">
        <v>54</v>
      </c>
      <c r="C1317" s="1" t="s">
        <v>25</v>
      </c>
      <c r="D1317" s="1" t="s">
        <v>28</v>
      </c>
      <c r="E1317" s="1" t="s">
        <v>21</v>
      </c>
      <c r="F1317" s="1" t="s">
        <v>30</v>
      </c>
      <c r="G1317" s="1">
        <v>47.97</v>
      </c>
      <c r="H1317" s="1">
        <v>7</v>
      </c>
      <c r="I1317" s="1">
        <v>16.7895</v>
      </c>
      <c r="J1317" s="1">
        <v>352.5795</v>
      </c>
      <c r="K1317" s="4">
        <v>43647</v>
      </c>
      <c r="L1317" s="3">
        <v>0.86944444444444446</v>
      </c>
      <c r="M1317" s="1" t="s">
        <v>23</v>
      </c>
      <c r="N1317" s="1">
        <v>335.79</v>
      </c>
      <c r="O1317" s="1">
        <v>4.7619047620000003</v>
      </c>
      <c r="P1317" s="1">
        <v>16.7895</v>
      </c>
      <c r="Q1317" s="1">
        <v>6.2</v>
      </c>
    </row>
    <row r="1318" spans="1:17" ht="12.5" x14ac:dyDescent="0.25">
      <c r="A1318" s="1" t="s">
        <v>1405</v>
      </c>
      <c r="B1318" s="1" t="s">
        <v>18</v>
      </c>
      <c r="C1318" s="1" t="s">
        <v>25</v>
      </c>
      <c r="D1318" s="1" t="s">
        <v>20</v>
      </c>
      <c r="E1318" s="1" t="s">
        <v>21</v>
      </c>
      <c r="F1318" s="1"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row>
    <row r="1319" spans="1:17" ht="12.5" x14ac:dyDescent="0.25">
      <c r="A1319" s="1" t="s">
        <v>1406</v>
      </c>
      <c r="B1319" s="1" t="s">
        <v>54</v>
      </c>
      <c r="C1319" s="1" t="s">
        <v>25</v>
      </c>
      <c r="D1319" s="1" t="s">
        <v>20</v>
      </c>
      <c r="E1319" s="1" t="s">
        <v>21</v>
      </c>
      <c r="F1319" s="1"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row>
    <row r="1320" spans="1:17" ht="12.5" x14ac:dyDescent="0.25">
      <c r="A1320" s="1" t="s">
        <v>1407</v>
      </c>
      <c r="B1320" s="1" t="s">
        <v>18</v>
      </c>
      <c r="C1320" s="1" t="s">
        <v>19</v>
      </c>
      <c r="D1320" s="1" t="s">
        <v>28</v>
      </c>
      <c r="E1320" s="1" t="s">
        <v>21</v>
      </c>
      <c r="F1320" s="1"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row>
    <row r="1321" spans="1:17" ht="12.5" x14ac:dyDescent="0.25">
      <c r="A1321" s="1" t="s">
        <v>1408</v>
      </c>
      <c r="B1321" s="1" t="s">
        <v>18</v>
      </c>
      <c r="C1321" s="1" t="s">
        <v>25</v>
      </c>
      <c r="D1321" s="1" t="s">
        <v>28</v>
      </c>
      <c r="E1321" s="1" t="s">
        <v>21</v>
      </c>
      <c r="F1321" s="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row>
    <row r="1322" spans="1:17" ht="12.5" x14ac:dyDescent="0.25">
      <c r="A1322" s="1" t="s">
        <v>1409</v>
      </c>
      <c r="B1322" s="1" t="s">
        <v>18</v>
      </c>
      <c r="C1322" s="1" t="s">
        <v>19</v>
      </c>
      <c r="D1322" s="1" t="s">
        <v>28</v>
      </c>
      <c r="E1322" s="1" t="s">
        <v>21</v>
      </c>
      <c r="F1322" s="1"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row>
    <row r="1323" spans="1:17" ht="12.5" x14ac:dyDescent="0.25">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ht="12.5" x14ac:dyDescent="0.25">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ht="12.5" x14ac:dyDescent="0.25">
      <c r="A1325" s="1" t="s">
        <v>1412</v>
      </c>
      <c r="B1325" s="1" t="s">
        <v>54</v>
      </c>
      <c r="C1325" s="1" t="s">
        <v>25</v>
      </c>
      <c r="D1325" s="1" t="s">
        <v>28</v>
      </c>
      <c r="E1325" s="1" t="s">
        <v>21</v>
      </c>
      <c r="F1325" s="1"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row>
    <row r="1326" spans="1:17" ht="12.5" x14ac:dyDescent="0.25">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ht="12.5" x14ac:dyDescent="0.25">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ht="12.5" x14ac:dyDescent="0.25">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ht="12.5" x14ac:dyDescent="0.25">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ht="12.5" x14ac:dyDescent="0.25">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ht="12.5" x14ac:dyDescent="0.25">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ht="12.5" x14ac:dyDescent="0.25">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ht="12.5" x14ac:dyDescent="0.25">
      <c r="A1333" s="1" t="s">
        <v>1420</v>
      </c>
      <c r="B1333" s="1" t="s">
        <v>18</v>
      </c>
      <c r="C1333" s="1" t="s">
        <v>25</v>
      </c>
      <c r="D1333" s="1" t="s">
        <v>28</v>
      </c>
      <c r="E1333" s="1" t="s">
        <v>29</v>
      </c>
      <c r="F1333" s="1"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row>
    <row r="1334" spans="1:17" ht="12.5" x14ac:dyDescent="0.25">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ht="12.5" x14ac:dyDescent="0.25">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ht="12.5" x14ac:dyDescent="0.25">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ht="12.5" x14ac:dyDescent="0.25">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ht="12.5" x14ac:dyDescent="0.25">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ht="12.5" x14ac:dyDescent="0.25">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ht="12.5" x14ac:dyDescent="0.25">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ht="12.5" x14ac:dyDescent="0.25">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ht="12.5" x14ac:dyDescent="0.25">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ht="12.5" x14ac:dyDescent="0.25">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ht="12.5" x14ac:dyDescent="0.25">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ht="12.5" x14ac:dyDescent="0.25">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ht="12.5" x14ac:dyDescent="0.25">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ht="12.5" x14ac:dyDescent="0.25">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ht="12.5" x14ac:dyDescent="0.25">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ht="12.5" x14ac:dyDescent="0.25">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ht="12.5" x14ac:dyDescent="0.25">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ht="12.5" x14ac:dyDescent="0.25">
      <c r="A1351" s="1" t="s">
        <v>1438</v>
      </c>
      <c r="B1351" s="1" t="s">
        <v>33</v>
      </c>
      <c r="C1351" s="1" t="s">
        <v>27</v>
      </c>
      <c r="D1351" s="1" t="s">
        <v>28</v>
      </c>
      <c r="E1351" s="1" t="s">
        <v>21</v>
      </c>
      <c r="F1351" s="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row>
    <row r="1352" spans="1:17" ht="12.5" x14ac:dyDescent="0.25">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ht="12.5" x14ac:dyDescent="0.25">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ht="12.5" x14ac:dyDescent="0.25">
      <c r="A1354" s="1" t="s">
        <v>1441</v>
      </c>
      <c r="B1354" s="1" t="s">
        <v>18</v>
      </c>
      <c r="C1354" s="1" t="s">
        <v>25</v>
      </c>
      <c r="D1354" s="1" t="s">
        <v>28</v>
      </c>
      <c r="E1354" s="1" t="s">
        <v>29</v>
      </c>
      <c r="F1354" s="1"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row>
    <row r="1355" spans="1:17" ht="12.5" x14ac:dyDescent="0.25">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ht="12.5" x14ac:dyDescent="0.25">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ht="12.5" x14ac:dyDescent="0.25">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ht="12.5" x14ac:dyDescent="0.25">
      <c r="A1358" s="1" t="s">
        <v>1445</v>
      </c>
      <c r="B1358" s="1" t="s">
        <v>33</v>
      </c>
      <c r="C1358" s="1" t="s">
        <v>25</v>
      </c>
      <c r="D1358" s="1" t="s">
        <v>20</v>
      </c>
      <c r="E1358" s="1" t="s">
        <v>21</v>
      </c>
      <c r="F1358" s="1" t="s">
        <v>44</v>
      </c>
      <c r="G1358" s="1">
        <v>35.54</v>
      </c>
      <c r="H1358" s="1">
        <v>10</v>
      </c>
      <c r="I1358" s="1">
        <v>17.77</v>
      </c>
      <c r="J1358" s="1">
        <v>373.17</v>
      </c>
      <c r="K1358" s="4">
        <v>43556</v>
      </c>
      <c r="L1358" s="3">
        <v>0.56527777777777777</v>
      </c>
      <c r="M1358" s="1" t="s">
        <v>40</v>
      </c>
      <c r="N1358" s="1">
        <v>355.4</v>
      </c>
      <c r="O1358" s="1">
        <v>4.7619047620000003</v>
      </c>
      <c r="P1358" s="1">
        <v>17.77</v>
      </c>
      <c r="Q1358" s="1">
        <v>7</v>
      </c>
    </row>
    <row r="1359" spans="1:17" ht="12.5" x14ac:dyDescent="0.25">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ht="12.5" x14ac:dyDescent="0.25">
      <c r="A1360" s="1" t="s">
        <v>1447</v>
      </c>
      <c r="B1360" s="1" t="s">
        <v>54</v>
      </c>
      <c r="C1360" s="1" t="s">
        <v>25</v>
      </c>
      <c r="D1360" s="1" t="s">
        <v>28</v>
      </c>
      <c r="E1360" s="1" t="s">
        <v>29</v>
      </c>
      <c r="F1360" s="1"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row>
    <row r="1361" spans="1:17" ht="12.5" x14ac:dyDescent="0.25">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ht="12.5" x14ac:dyDescent="0.25">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ht="12.5" x14ac:dyDescent="0.25">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ht="12.5" x14ac:dyDescent="0.25">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ht="12.5" x14ac:dyDescent="0.25">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ht="12.5" x14ac:dyDescent="0.25">
      <c r="A1366" s="1" t="s">
        <v>1453</v>
      </c>
      <c r="B1366" s="1" t="s">
        <v>54</v>
      </c>
      <c r="C1366" s="1" t="s">
        <v>25</v>
      </c>
      <c r="D1366" s="1" t="s">
        <v>28</v>
      </c>
      <c r="E1366" s="1" t="s">
        <v>29</v>
      </c>
      <c r="F1366" s="1"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row>
    <row r="1367" spans="1:17" ht="12.5" x14ac:dyDescent="0.25">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ht="12.5" x14ac:dyDescent="0.25">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ht="12.5" x14ac:dyDescent="0.25">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ht="12.5" x14ac:dyDescent="0.25">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ht="12.5" x14ac:dyDescent="0.25">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ht="12.5" x14ac:dyDescent="0.25">
      <c r="A1372" s="1" t="s">
        <v>1459</v>
      </c>
      <c r="B1372" s="1" t="s">
        <v>18</v>
      </c>
      <c r="C1372" s="1" t="s">
        <v>19</v>
      </c>
      <c r="D1372" s="1" t="s">
        <v>20</v>
      </c>
      <c r="E1372" s="1" t="s">
        <v>29</v>
      </c>
      <c r="F1372" s="1"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row>
    <row r="1373" spans="1:17" ht="12.5" x14ac:dyDescent="0.25">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ht="12.5" x14ac:dyDescent="0.25">
      <c r="A1374" s="1" t="s">
        <v>1461</v>
      </c>
      <c r="B1374" s="1" t="s">
        <v>54</v>
      </c>
      <c r="C1374" s="1" t="s">
        <v>25</v>
      </c>
      <c r="D1374" s="1" t="s">
        <v>20</v>
      </c>
      <c r="E1374" s="1" t="s">
        <v>29</v>
      </c>
      <c r="F1374" s="1"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row>
    <row r="1375" spans="1:17" ht="12.5" x14ac:dyDescent="0.25">
      <c r="A1375" s="1" t="s">
        <v>1462</v>
      </c>
      <c r="B1375" s="1" t="s">
        <v>33</v>
      </c>
      <c r="C1375" s="1" t="s">
        <v>25</v>
      </c>
      <c r="D1375" s="1" t="s">
        <v>20</v>
      </c>
      <c r="E1375" s="1" t="s">
        <v>29</v>
      </c>
      <c r="F1375" s="1"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row>
    <row r="1376" spans="1:17" ht="12.5" x14ac:dyDescent="0.25">
      <c r="A1376" s="1" t="s">
        <v>1463</v>
      </c>
      <c r="B1376" s="1" t="s">
        <v>18</v>
      </c>
      <c r="C1376" s="1" t="s">
        <v>25</v>
      </c>
      <c r="D1376" s="1" t="s">
        <v>20</v>
      </c>
      <c r="E1376" s="1" t="s">
        <v>21</v>
      </c>
      <c r="F1376" s="1" t="s">
        <v>30</v>
      </c>
      <c r="G1376" s="1">
        <v>40.61</v>
      </c>
      <c r="H1376" s="1">
        <v>9</v>
      </c>
      <c r="I1376" s="1">
        <v>18.2745</v>
      </c>
      <c r="J1376" s="1">
        <v>383.7645</v>
      </c>
      <c r="K1376" s="4">
        <v>43497</v>
      </c>
      <c r="L1376" s="3">
        <v>0.56944444444444442</v>
      </c>
      <c r="M1376" s="1" t="s">
        <v>23</v>
      </c>
      <c r="N1376" s="1">
        <v>365.49</v>
      </c>
      <c r="O1376" s="1">
        <v>4.7619047620000003</v>
      </c>
      <c r="P1376" s="1">
        <v>18.2745</v>
      </c>
      <c r="Q1376" s="1">
        <v>7</v>
      </c>
    </row>
    <row r="1377" spans="1:17" ht="12.5" x14ac:dyDescent="0.25">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ht="12.5" x14ac:dyDescent="0.25">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ht="12.5" x14ac:dyDescent="0.25">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ht="12.5" x14ac:dyDescent="0.25">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ht="12.5" x14ac:dyDescent="0.25">
      <c r="A1381" s="1" t="s">
        <v>1468</v>
      </c>
      <c r="B1381" s="1" t="s">
        <v>18</v>
      </c>
      <c r="C1381" s="1" t="s">
        <v>19</v>
      </c>
      <c r="D1381" s="1" t="s">
        <v>20</v>
      </c>
      <c r="E1381" s="1" t="s">
        <v>29</v>
      </c>
      <c r="F1381" s="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row>
    <row r="1382" spans="1:17" ht="12.5" x14ac:dyDescent="0.25">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ht="12.5" x14ac:dyDescent="0.25">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ht="12.5" x14ac:dyDescent="0.25">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ht="12.5" x14ac:dyDescent="0.25">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ht="12.5" x14ac:dyDescent="0.25">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ht="12.5" x14ac:dyDescent="0.25">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ht="12.5" x14ac:dyDescent="0.25">
      <c r="A1388" s="1" t="s">
        <v>1475</v>
      </c>
      <c r="B1388" s="1" t="s">
        <v>18</v>
      </c>
      <c r="C1388" s="1" t="s">
        <v>25</v>
      </c>
      <c r="D1388" s="1" t="s">
        <v>28</v>
      </c>
      <c r="E1388" s="1" t="s">
        <v>21</v>
      </c>
      <c r="F1388" s="1"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row>
    <row r="1389" spans="1:17" ht="12.5" x14ac:dyDescent="0.25">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ht="12.5" x14ac:dyDescent="0.25">
      <c r="A1390" s="1" t="s">
        <v>1477</v>
      </c>
      <c r="B1390" s="1" t="s">
        <v>18</v>
      </c>
      <c r="C1390" s="1" t="s">
        <v>25</v>
      </c>
      <c r="D1390" s="1" t="s">
        <v>28</v>
      </c>
      <c r="E1390" s="1" t="s">
        <v>21</v>
      </c>
      <c r="F1390" s="1"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row>
    <row r="1391" spans="1:17" ht="12.5" x14ac:dyDescent="0.25">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ht="12.5" x14ac:dyDescent="0.25">
      <c r="A1392" s="1" t="s">
        <v>1479</v>
      </c>
      <c r="B1392" s="1" t="s">
        <v>18</v>
      </c>
      <c r="C1392" s="1" t="s">
        <v>25</v>
      </c>
      <c r="D1392" s="1" t="s">
        <v>28</v>
      </c>
      <c r="E1392" s="1" t="s">
        <v>29</v>
      </c>
      <c r="F1392" s="1"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row>
    <row r="1393" spans="1:17" ht="12.5" x14ac:dyDescent="0.25">
      <c r="A1393" s="1" t="s">
        <v>1480</v>
      </c>
      <c r="B1393" s="1" t="s">
        <v>18</v>
      </c>
      <c r="C1393" s="1" t="s">
        <v>19</v>
      </c>
      <c r="D1393" s="1" t="s">
        <v>28</v>
      </c>
      <c r="E1393" s="1" t="s">
        <v>29</v>
      </c>
      <c r="F1393" s="1"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row>
    <row r="1394" spans="1:17" ht="12.5" x14ac:dyDescent="0.25">
      <c r="A1394" s="1" t="s">
        <v>1481</v>
      </c>
      <c r="B1394" s="1" t="s">
        <v>33</v>
      </c>
      <c r="C1394" s="1" t="s">
        <v>25</v>
      </c>
      <c r="D1394" s="1" t="s">
        <v>20</v>
      </c>
      <c r="E1394" s="1" t="s">
        <v>21</v>
      </c>
      <c r="F1394" s="1"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row>
    <row r="1395" spans="1:17" ht="12.5" x14ac:dyDescent="0.25">
      <c r="A1395" s="1" t="s">
        <v>1482</v>
      </c>
      <c r="B1395" s="1" t="s">
        <v>18</v>
      </c>
      <c r="C1395" s="1" t="s">
        <v>27</v>
      </c>
      <c r="D1395" s="1" t="s">
        <v>20</v>
      </c>
      <c r="E1395" s="1" t="s">
        <v>29</v>
      </c>
      <c r="F1395" s="1"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row>
    <row r="1396" spans="1:17" ht="12.5" x14ac:dyDescent="0.25">
      <c r="A1396" s="1" t="s">
        <v>1483</v>
      </c>
      <c r="B1396" s="1" t="s">
        <v>54</v>
      </c>
      <c r="C1396" s="1" t="s">
        <v>25</v>
      </c>
      <c r="D1396" s="1" t="s">
        <v>20</v>
      </c>
      <c r="E1396" s="1" t="s">
        <v>21</v>
      </c>
      <c r="F1396" s="1"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row>
    <row r="1397" spans="1:17" ht="12.5" x14ac:dyDescent="0.25">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ht="12.5" x14ac:dyDescent="0.25">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ht="12.5" x14ac:dyDescent="0.25">
      <c r="A1399" s="1" t="s">
        <v>1486</v>
      </c>
      <c r="B1399" s="1" t="s">
        <v>18</v>
      </c>
      <c r="C1399" s="1" t="s">
        <v>25</v>
      </c>
      <c r="D1399" s="1" t="s">
        <v>28</v>
      </c>
      <c r="E1399" s="1" t="s">
        <v>21</v>
      </c>
      <c r="F1399" s="1" t="s">
        <v>39</v>
      </c>
      <c r="G1399" s="1">
        <v>94.26</v>
      </c>
      <c r="H1399" s="1">
        <v>4</v>
      </c>
      <c r="I1399" s="1">
        <v>18.852</v>
      </c>
      <c r="J1399" s="1">
        <v>395.892</v>
      </c>
      <c r="K1399" s="4">
        <v>43802</v>
      </c>
      <c r="L1399" s="3">
        <v>0.6875</v>
      </c>
      <c r="M1399" s="1" t="s">
        <v>23</v>
      </c>
      <c r="N1399" s="1">
        <v>377.04</v>
      </c>
      <c r="O1399" s="1">
        <v>4.7619047620000003</v>
      </c>
      <c r="P1399" s="1">
        <v>18.852</v>
      </c>
      <c r="Q1399" s="1">
        <v>8.6</v>
      </c>
    </row>
    <row r="1400" spans="1:17" ht="12.5" x14ac:dyDescent="0.25">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ht="12.5" x14ac:dyDescent="0.25">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ht="12.5" x14ac:dyDescent="0.25">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ht="12.5" x14ac:dyDescent="0.25">
      <c r="A1403" s="1" t="s">
        <v>1490</v>
      </c>
      <c r="B1403" s="1" t="s">
        <v>33</v>
      </c>
      <c r="C1403" s="1" t="s">
        <v>25</v>
      </c>
      <c r="D1403" s="1" t="s">
        <v>28</v>
      </c>
      <c r="E1403" s="1" t="s">
        <v>29</v>
      </c>
      <c r="F1403" s="1"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row>
    <row r="1404" spans="1:17" ht="12.5" x14ac:dyDescent="0.25">
      <c r="A1404" s="1" t="s">
        <v>1491</v>
      </c>
      <c r="B1404" s="1" t="s">
        <v>54</v>
      </c>
      <c r="C1404" s="1" t="s">
        <v>25</v>
      </c>
      <c r="D1404" s="1" t="s">
        <v>28</v>
      </c>
      <c r="E1404" s="1" t="s">
        <v>29</v>
      </c>
      <c r="F1404" s="1"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row>
    <row r="1405" spans="1:17" ht="12.5" x14ac:dyDescent="0.25">
      <c r="A1405" s="1" t="s">
        <v>1492</v>
      </c>
      <c r="B1405" s="1" t="s">
        <v>33</v>
      </c>
      <c r="C1405" s="1" t="s">
        <v>25</v>
      </c>
      <c r="D1405" s="1" t="s">
        <v>28</v>
      </c>
      <c r="E1405" s="1" t="s">
        <v>29</v>
      </c>
      <c r="F1405" s="1"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row>
    <row r="1406" spans="1:17" ht="12.5" x14ac:dyDescent="0.25">
      <c r="A1406" s="1" t="s">
        <v>1493</v>
      </c>
      <c r="B1406" s="1" t="s">
        <v>33</v>
      </c>
      <c r="C1406" s="1" t="s">
        <v>25</v>
      </c>
      <c r="D1406" s="1" t="s">
        <v>28</v>
      </c>
      <c r="E1406" s="1" t="s">
        <v>21</v>
      </c>
      <c r="F1406" s="1"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row>
    <row r="1407" spans="1:17" ht="12.5" x14ac:dyDescent="0.25">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ht="12.5" x14ac:dyDescent="0.25">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ht="12.5" x14ac:dyDescent="0.25">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ht="12.5" x14ac:dyDescent="0.25">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ht="12.5" x14ac:dyDescent="0.25">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ht="12.5" x14ac:dyDescent="0.25">
      <c r="A1412" s="1" t="s">
        <v>1499</v>
      </c>
      <c r="B1412" s="1" t="s">
        <v>33</v>
      </c>
      <c r="C1412" s="1" t="s">
        <v>27</v>
      </c>
      <c r="D1412" s="1" t="s">
        <v>20</v>
      </c>
      <c r="E1412" s="1" t="s">
        <v>21</v>
      </c>
      <c r="F1412" s="1"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row>
    <row r="1413" spans="1:17" ht="12.5" x14ac:dyDescent="0.25">
      <c r="A1413" s="1" t="s">
        <v>1500</v>
      </c>
      <c r="B1413" s="1" t="s">
        <v>18</v>
      </c>
      <c r="C1413" s="1" t="s">
        <v>25</v>
      </c>
      <c r="D1413" s="1" t="s">
        <v>28</v>
      </c>
      <c r="E1413" s="1" t="s">
        <v>21</v>
      </c>
      <c r="F1413" s="1"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row>
    <row r="1414" spans="1:17" ht="12.5" x14ac:dyDescent="0.25">
      <c r="A1414" s="1" t="s">
        <v>1501</v>
      </c>
      <c r="B1414" s="1" t="s">
        <v>18</v>
      </c>
      <c r="C1414" s="1" t="s">
        <v>25</v>
      </c>
      <c r="D1414" s="1" t="s">
        <v>28</v>
      </c>
      <c r="E1414" s="1" t="s">
        <v>21</v>
      </c>
      <c r="F1414" s="1"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row>
    <row r="1415" spans="1:17" ht="12.5" x14ac:dyDescent="0.25">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ht="12.5" x14ac:dyDescent="0.25">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ht="12.5" x14ac:dyDescent="0.25">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ht="12.5" x14ac:dyDescent="0.25">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ht="12.5" x14ac:dyDescent="0.25">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ht="12.5" x14ac:dyDescent="0.25">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ht="12.5" x14ac:dyDescent="0.25">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ht="12.5" x14ac:dyDescent="0.25">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ht="12.5" x14ac:dyDescent="0.25">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ht="12.5" x14ac:dyDescent="0.25">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ht="12.5" x14ac:dyDescent="0.25">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ht="12.5" x14ac:dyDescent="0.25">
      <c r="A1426" s="1" t="s">
        <v>1513</v>
      </c>
      <c r="B1426" s="1" t="s">
        <v>33</v>
      </c>
      <c r="C1426" s="1" t="s">
        <v>25</v>
      </c>
      <c r="D1426" s="1" t="s">
        <v>28</v>
      </c>
      <c r="E1426" s="1" t="s">
        <v>21</v>
      </c>
      <c r="F1426" s="1"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row>
    <row r="1427" spans="1:17" ht="12.5" x14ac:dyDescent="0.25">
      <c r="A1427" s="1" t="s">
        <v>1514</v>
      </c>
      <c r="B1427" s="1" t="s">
        <v>18</v>
      </c>
      <c r="C1427" s="1" t="s">
        <v>19</v>
      </c>
      <c r="D1427" s="1" t="s">
        <v>20</v>
      </c>
      <c r="E1427" s="1" t="s">
        <v>21</v>
      </c>
      <c r="F1427" s="1"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row>
    <row r="1428" spans="1:17" ht="12.5" x14ac:dyDescent="0.25">
      <c r="A1428" s="1" t="s">
        <v>1515</v>
      </c>
      <c r="B1428" s="1" t="s">
        <v>18</v>
      </c>
      <c r="C1428" s="1" t="s">
        <v>25</v>
      </c>
      <c r="D1428" s="1" t="s">
        <v>20</v>
      </c>
      <c r="E1428" s="1" t="s">
        <v>21</v>
      </c>
      <c r="F1428" s="1"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row>
    <row r="1429" spans="1:17" ht="12.5" x14ac:dyDescent="0.25">
      <c r="A1429" s="1" t="s">
        <v>1516</v>
      </c>
      <c r="B1429" s="1" t="s">
        <v>54</v>
      </c>
      <c r="C1429" s="1" t="s">
        <v>25</v>
      </c>
      <c r="D1429" s="1" t="s">
        <v>28</v>
      </c>
      <c r="E1429" s="1" t="s">
        <v>29</v>
      </c>
      <c r="F1429" s="1"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row>
    <row r="1430" spans="1:17" ht="12.5" x14ac:dyDescent="0.25">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ht="12.5" x14ac:dyDescent="0.25">
      <c r="A1431" s="1" t="s">
        <v>1518</v>
      </c>
      <c r="B1431" s="1" t="s">
        <v>18</v>
      </c>
      <c r="C1431" s="1" t="s">
        <v>25</v>
      </c>
      <c r="D1431" s="1" t="s">
        <v>28</v>
      </c>
      <c r="E1431" s="1" t="s">
        <v>29</v>
      </c>
      <c r="F1431" s="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row>
    <row r="1432" spans="1:17" ht="12.5" x14ac:dyDescent="0.25">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ht="12.5" x14ac:dyDescent="0.25">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ht="12.5" x14ac:dyDescent="0.25">
      <c r="A1434" s="1" t="s">
        <v>1521</v>
      </c>
      <c r="B1434" s="1" t="s">
        <v>18</v>
      </c>
      <c r="C1434" s="1" t="s">
        <v>25</v>
      </c>
      <c r="D1434" s="1" t="s">
        <v>20</v>
      </c>
      <c r="E1434" s="1" t="s">
        <v>21</v>
      </c>
      <c r="F1434" s="1"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row>
    <row r="1435" spans="1:17" ht="12.5" x14ac:dyDescent="0.25">
      <c r="A1435" s="1" t="s">
        <v>1522</v>
      </c>
      <c r="B1435" s="1" t="s">
        <v>18</v>
      </c>
      <c r="C1435" s="1" t="s">
        <v>19</v>
      </c>
      <c r="D1435" s="1" t="s">
        <v>20</v>
      </c>
      <c r="E1435" s="1" t="s">
        <v>21</v>
      </c>
      <c r="F1435" s="1"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row>
    <row r="1436" spans="1:17" ht="12.5" x14ac:dyDescent="0.25">
      <c r="A1436" s="1" t="s">
        <v>1523</v>
      </c>
      <c r="B1436" s="1" t="s">
        <v>18</v>
      </c>
      <c r="C1436" s="1" t="s">
        <v>25</v>
      </c>
      <c r="D1436" s="1" t="s">
        <v>20</v>
      </c>
      <c r="E1436" s="1" t="s">
        <v>21</v>
      </c>
      <c r="F1436" s="1"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row>
    <row r="1437" spans="1:17" ht="12.5" x14ac:dyDescent="0.25">
      <c r="A1437" s="1" t="s">
        <v>1524</v>
      </c>
      <c r="B1437" s="1" t="s">
        <v>18</v>
      </c>
      <c r="C1437" s="1" t="s">
        <v>19</v>
      </c>
      <c r="D1437" s="1" t="s">
        <v>20</v>
      </c>
      <c r="E1437" s="1" t="s">
        <v>21</v>
      </c>
      <c r="F1437" s="1"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row>
    <row r="1438" spans="1:17" ht="12.5" x14ac:dyDescent="0.25">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ht="12.5" x14ac:dyDescent="0.25">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ht="12.5" x14ac:dyDescent="0.25">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ht="12.5" x14ac:dyDescent="0.25">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ht="12.5" x14ac:dyDescent="0.25">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ht="12.5" x14ac:dyDescent="0.25">
      <c r="A1443" s="1" t="s">
        <v>1530</v>
      </c>
      <c r="B1443" s="1" t="s">
        <v>54</v>
      </c>
      <c r="C1443" s="1" t="s">
        <v>25</v>
      </c>
      <c r="D1443" s="1" t="s">
        <v>28</v>
      </c>
      <c r="E1443" s="1" t="s">
        <v>21</v>
      </c>
      <c r="F1443" s="1"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row>
    <row r="1444" spans="1:17" ht="12.5" x14ac:dyDescent="0.25">
      <c r="A1444" s="1" t="s">
        <v>1531</v>
      </c>
      <c r="B1444" s="1" t="s">
        <v>33</v>
      </c>
      <c r="C1444" s="1" t="s">
        <v>25</v>
      </c>
      <c r="D1444" s="1" t="s">
        <v>28</v>
      </c>
      <c r="E1444" s="1" t="s">
        <v>21</v>
      </c>
      <c r="F1444" s="1"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row>
    <row r="1445" spans="1:17" ht="12.5" x14ac:dyDescent="0.25">
      <c r="A1445" s="1" t="s">
        <v>1532</v>
      </c>
      <c r="B1445" s="1" t="s">
        <v>54</v>
      </c>
      <c r="C1445" s="1" t="s">
        <v>25</v>
      </c>
      <c r="D1445" s="1" t="s">
        <v>28</v>
      </c>
      <c r="E1445" s="1" t="s">
        <v>29</v>
      </c>
      <c r="F1445" s="1"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row>
    <row r="1446" spans="1:17" ht="12.5" x14ac:dyDescent="0.25">
      <c r="A1446" s="1" t="s">
        <v>1533</v>
      </c>
      <c r="B1446" s="1" t="s">
        <v>18</v>
      </c>
      <c r="C1446" s="1" t="s">
        <v>25</v>
      </c>
      <c r="D1446" s="1" t="s">
        <v>28</v>
      </c>
      <c r="E1446" s="1" t="s">
        <v>21</v>
      </c>
      <c r="F1446" s="1"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row>
    <row r="1447" spans="1:17" ht="12.5" x14ac:dyDescent="0.25">
      <c r="A1447" s="1" t="s">
        <v>1534</v>
      </c>
      <c r="B1447" s="1" t="s">
        <v>54</v>
      </c>
      <c r="C1447" s="1" t="s">
        <v>25</v>
      </c>
      <c r="D1447" s="1" t="s">
        <v>20</v>
      </c>
      <c r="E1447" s="1" t="s">
        <v>21</v>
      </c>
      <c r="F1447" s="1" t="s">
        <v>44</v>
      </c>
      <c r="G1447" s="1">
        <v>65.91</v>
      </c>
      <c r="H1447" s="1">
        <v>6</v>
      </c>
      <c r="I1447" s="1">
        <v>19.773</v>
      </c>
      <c r="J1447" s="1">
        <v>415.233</v>
      </c>
      <c r="K1447" s="4">
        <v>43710</v>
      </c>
      <c r="L1447" s="3">
        <v>0.48958333333333331</v>
      </c>
      <c r="M1447" s="1" t="s">
        <v>23</v>
      </c>
      <c r="N1447" s="1">
        <v>395.46</v>
      </c>
      <c r="O1447" s="1">
        <v>4.7619047620000003</v>
      </c>
      <c r="P1447" s="1">
        <v>19.773</v>
      </c>
      <c r="Q1447" s="1">
        <v>5.7</v>
      </c>
    </row>
    <row r="1448" spans="1:17" ht="12.5" x14ac:dyDescent="0.25">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ht="12.5" x14ac:dyDescent="0.25">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ht="12.5" x14ac:dyDescent="0.25">
      <c r="A1450" s="1" t="s">
        <v>1537</v>
      </c>
      <c r="B1450" s="1" t="s">
        <v>18</v>
      </c>
      <c r="C1450" s="1" t="s">
        <v>19</v>
      </c>
      <c r="D1450" s="1" t="s">
        <v>20</v>
      </c>
      <c r="E1450" s="1" t="s">
        <v>21</v>
      </c>
      <c r="F1450" s="1"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row>
    <row r="1451" spans="1:17" ht="12.5" x14ac:dyDescent="0.25">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ht="12.5" x14ac:dyDescent="0.25">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ht="12.5" x14ac:dyDescent="0.25">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ht="12.5" x14ac:dyDescent="0.25">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ht="12.5" x14ac:dyDescent="0.25">
      <c r="A1455" s="1" t="s">
        <v>1542</v>
      </c>
      <c r="B1455" s="1" t="s">
        <v>18</v>
      </c>
      <c r="C1455" s="1" t="s">
        <v>19</v>
      </c>
      <c r="D1455" s="1" t="s">
        <v>20</v>
      </c>
      <c r="E1455" s="1" t="s">
        <v>21</v>
      </c>
      <c r="F1455" s="1"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row>
    <row r="1456" spans="1:17" ht="12.5" x14ac:dyDescent="0.25">
      <c r="A1456" s="1" t="s">
        <v>1543</v>
      </c>
      <c r="B1456" s="1" t="s">
        <v>18</v>
      </c>
      <c r="C1456" s="1" t="s">
        <v>19</v>
      </c>
      <c r="D1456" s="1" t="s">
        <v>20</v>
      </c>
      <c r="E1456" s="1" t="s">
        <v>21</v>
      </c>
      <c r="F1456" s="1"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row>
    <row r="1457" spans="1:17" ht="12.5" x14ac:dyDescent="0.25">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ht="12.5" x14ac:dyDescent="0.25">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ht="12.5" x14ac:dyDescent="0.25">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ht="12.5" x14ac:dyDescent="0.25">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ht="12.5" x14ac:dyDescent="0.25">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ht="12.5" x14ac:dyDescent="0.25">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ht="12.5" x14ac:dyDescent="0.25">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ht="12.5" x14ac:dyDescent="0.25">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ht="12.5" x14ac:dyDescent="0.25">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ht="12.5" x14ac:dyDescent="0.25">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ht="12.5" x14ac:dyDescent="0.25">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ht="12.5" x14ac:dyDescent="0.25">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ht="12.5" x14ac:dyDescent="0.25">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ht="12.5" x14ac:dyDescent="0.25">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ht="12.5" x14ac:dyDescent="0.25">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ht="12.5" x14ac:dyDescent="0.25">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ht="12.5" x14ac:dyDescent="0.25">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ht="12.5" x14ac:dyDescent="0.25">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ht="12.5" x14ac:dyDescent="0.25">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ht="12.5" x14ac:dyDescent="0.25">
      <c r="A1476" s="1" t="s">
        <v>1563</v>
      </c>
      <c r="B1476" s="1" t="s">
        <v>18</v>
      </c>
      <c r="C1476" s="1" t="s">
        <v>27</v>
      </c>
      <c r="D1476" s="1" t="s">
        <v>20</v>
      </c>
      <c r="E1476" s="1" t="s">
        <v>29</v>
      </c>
      <c r="F1476" s="1"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row>
    <row r="1477" spans="1:17" ht="12.5" x14ac:dyDescent="0.25">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ht="12.5" x14ac:dyDescent="0.25">
      <c r="A1478" s="1" t="s">
        <v>1565</v>
      </c>
      <c r="B1478" s="1" t="s">
        <v>18</v>
      </c>
      <c r="C1478" s="1" t="s">
        <v>27</v>
      </c>
      <c r="D1478" s="1" t="s">
        <v>20</v>
      </c>
      <c r="E1478" s="1" t="s">
        <v>21</v>
      </c>
      <c r="F1478" s="1"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row>
    <row r="1479" spans="1:17" ht="12.5" x14ac:dyDescent="0.25">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ht="12.5" x14ac:dyDescent="0.25">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ht="12.5" x14ac:dyDescent="0.25">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ht="12.5" x14ac:dyDescent="0.25">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ht="12.5" x14ac:dyDescent="0.25">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ht="12.5" x14ac:dyDescent="0.25">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ht="12.5" x14ac:dyDescent="0.25">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ht="12.5" x14ac:dyDescent="0.25">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ht="12.5" x14ac:dyDescent="0.25">
      <c r="A1487" s="1" t="s">
        <v>1574</v>
      </c>
      <c r="B1487" s="1" t="s">
        <v>54</v>
      </c>
      <c r="C1487" s="1" t="s">
        <v>25</v>
      </c>
      <c r="D1487" s="1" t="s">
        <v>20</v>
      </c>
      <c r="E1487" s="1" t="s">
        <v>21</v>
      </c>
      <c r="F1487" s="1"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row>
    <row r="1488" spans="1:17" ht="12.5" x14ac:dyDescent="0.25">
      <c r="A1488" s="1" t="s">
        <v>1575</v>
      </c>
      <c r="B1488" s="1" t="s">
        <v>54</v>
      </c>
      <c r="C1488" s="1" t="s">
        <v>25</v>
      </c>
      <c r="D1488" s="1" t="s">
        <v>20</v>
      </c>
      <c r="E1488" s="1" t="s">
        <v>21</v>
      </c>
      <c r="F1488" s="1"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row>
    <row r="1489" spans="1:17" ht="12.5" x14ac:dyDescent="0.25">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ht="12.5" x14ac:dyDescent="0.25">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ht="12.5" x14ac:dyDescent="0.25">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ht="12.5" x14ac:dyDescent="0.25">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ht="12.5" x14ac:dyDescent="0.25">
      <c r="A1493" s="1" t="s">
        <v>1580</v>
      </c>
      <c r="B1493" s="1" t="s">
        <v>54</v>
      </c>
      <c r="C1493" s="1" t="s">
        <v>25</v>
      </c>
      <c r="D1493" s="1" t="s">
        <v>20</v>
      </c>
      <c r="E1493" s="1" t="s">
        <v>21</v>
      </c>
      <c r="F1493" s="1"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row>
    <row r="1494" spans="1:17" ht="12.5" x14ac:dyDescent="0.25">
      <c r="A1494" s="1" t="s">
        <v>1581</v>
      </c>
      <c r="B1494" s="1" t="s">
        <v>54</v>
      </c>
      <c r="C1494" s="1" t="s">
        <v>25</v>
      </c>
      <c r="D1494" s="1" t="s">
        <v>20</v>
      </c>
      <c r="E1494" s="1" t="s">
        <v>21</v>
      </c>
      <c r="F1494" s="1"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row>
    <row r="1495" spans="1:17" ht="12.5" x14ac:dyDescent="0.25">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ht="12.5" x14ac:dyDescent="0.25">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ht="12.5" x14ac:dyDescent="0.25">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ht="12.5" x14ac:dyDescent="0.25">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ht="12.5" x14ac:dyDescent="0.25">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ht="12.5" x14ac:dyDescent="0.25">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ht="12.5" x14ac:dyDescent="0.25">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ht="12.5" x14ac:dyDescent="0.25">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ht="12.5" x14ac:dyDescent="0.25">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ht="12.5" x14ac:dyDescent="0.25">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ht="12.5" x14ac:dyDescent="0.25">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ht="12.5" x14ac:dyDescent="0.25">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ht="12.5" x14ac:dyDescent="0.25">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ht="12.5" x14ac:dyDescent="0.25">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ht="12.5" x14ac:dyDescent="0.25">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ht="12.5" x14ac:dyDescent="0.25">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ht="12.5" x14ac:dyDescent="0.25">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ht="12.5" x14ac:dyDescent="0.25">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ht="12.5" x14ac:dyDescent="0.25">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ht="12.5" x14ac:dyDescent="0.25">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ht="12.5" x14ac:dyDescent="0.25">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ht="12.5" x14ac:dyDescent="0.25">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ht="12.5" x14ac:dyDescent="0.25">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ht="12.5" x14ac:dyDescent="0.25">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ht="12.5" x14ac:dyDescent="0.25">
      <c r="A1519" s="1" t="s">
        <v>1606</v>
      </c>
      <c r="B1519" s="1" t="s">
        <v>18</v>
      </c>
      <c r="C1519" s="1" t="s">
        <v>27</v>
      </c>
      <c r="D1519" s="1" t="s">
        <v>20</v>
      </c>
      <c r="E1519" s="1" t="s">
        <v>21</v>
      </c>
      <c r="F1519" s="1"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row>
    <row r="1520" spans="1:17" ht="12.5" x14ac:dyDescent="0.25">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ht="12.5" x14ac:dyDescent="0.25">
      <c r="A1521" s="1" t="s">
        <v>1608</v>
      </c>
      <c r="B1521" s="1" t="s">
        <v>18</v>
      </c>
      <c r="C1521" s="1" t="s">
        <v>27</v>
      </c>
      <c r="D1521" s="1" t="s">
        <v>20</v>
      </c>
      <c r="E1521" s="1" t="s">
        <v>21</v>
      </c>
      <c r="F1521" s="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row>
    <row r="1522" spans="1:17" ht="12.5" x14ac:dyDescent="0.25">
      <c r="A1522" s="1" t="s">
        <v>1609</v>
      </c>
      <c r="B1522" s="1" t="s">
        <v>33</v>
      </c>
      <c r="C1522" s="1" t="s">
        <v>27</v>
      </c>
      <c r="D1522" s="1" t="s">
        <v>28</v>
      </c>
      <c r="E1522" s="1" t="s">
        <v>21</v>
      </c>
      <c r="F1522" s="1"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row>
    <row r="1523" spans="1:17" ht="12.5" x14ac:dyDescent="0.25">
      <c r="A1523" s="1" t="s">
        <v>1610</v>
      </c>
      <c r="B1523" s="1" t="s">
        <v>33</v>
      </c>
      <c r="C1523" s="1" t="s">
        <v>27</v>
      </c>
      <c r="D1523" s="1" t="s">
        <v>28</v>
      </c>
      <c r="E1523" s="1" t="s">
        <v>21</v>
      </c>
      <c r="F1523" s="1"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row>
    <row r="1524" spans="1:17" ht="12.5" x14ac:dyDescent="0.25">
      <c r="A1524" s="1" t="s">
        <v>1611</v>
      </c>
      <c r="B1524" s="1" t="s">
        <v>18</v>
      </c>
      <c r="C1524" s="1" t="s">
        <v>25</v>
      </c>
      <c r="D1524" s="1" t="s">
        <v>20</v>
      </c>
      <c r="E1524" s="1" t="s">
        <v>21</v>
      </c>
      <c r="F1524" s="1"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row>
    <row r="1525" spans="1:17" ht="12.5" x14ac:dyDescent="0.25">
      <c r="A1525" s="1" t="s">
        <v>1612</v>
      </c>
      <c r="B1525" s="1" t="s">
        <v>18</v>
      </c>
      <c r="C1525" s="1" t="s">
        <v>25</v>
      </c>
      <c r="D1525" s="1" t="s">
        <v>20</v>
      </c>
      <c r="E1525" s="1" t="s">
        <v>21</v>
      </c>
      <c r="F1525" s="1"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row>
    <row r="1526" spans="1:17" ht="12.5" x14ac:dyDescent="0.25">
      <c r="A1526" s="1" t="s">
        <v>1613</v>
      </c>
      <c r="B1526" s="1" t="s">
        <v>54</v>
      </c>
      <c r="C1526" s="1" t="s">
        <v>25</v>
      </c>
      <c r="D1526" s="1" t="s">
        <v>28</v>
      </c>
      <c r="E1526" s="1" t="s">
        <v>21</v>
      </c>
      <c r="F1526" s="1"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row>
    <row r="1527" spans="1:17" ht="12.5" x14ac:dyDescent="0.25">
      <c r="A1527" s="1" t="s">
        <v>1614</v>
      </c>
      <c r="B1527" s="1" t="s">
        <v>54</v>
      </c>
      <c r="C1527" s="1" t="s">
        <v>25</v>
      </c>
      <c r="D1527" s="1" t="s">
        <v>28</v>
      </c>
      <c r="E1527" s="1" t="s">
        <v>21</v>
      </c>
      <c r="F1527" s="1"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row>
    <row r="1528" spans="1:17" ht="12.5" x14ac:dyDescent="0.25">
      <c r="A1528" s="1" t="s">
        <v>1615</v>
      </c>
      <c r="B1528" s="1" t="s">
        <v>18</v>
      </c>
      <c r="C1528" s="1" t="s">
        <v>25</v>
      </c>
      <c r="D1528" s="1" t="s">
        <v>28</v>
      </c>
      <c r="E1528" s="1" t="s">
        <v>21</v>
      </c>
      <c r="F1528" s="1"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row>
    <row r="1529" spans="1:17" ht="12.5" x14ac:dyDescent="0.25">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ht="12.5" x14ac:dyDescent="0.25">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ht="12.5" x14ac:dyDescent="0.25">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ht="12.5" x14ac:dyDescent="0.25">
      <c r="A1532" s="1" t="s">
        <v>1619</v>
      </c>
      <c r="B1532" s="1" t="s">
        <v>33</v>
      </c>
      <c r="C1532" s="1" t="s">
        <v>27</v>
      </c>
      <c r="D1532" s="1" t="s">
        <v>28</v>
      </c>
      <c r="E1532" s="1" t="s">
        <v>21</v>
      </c>
      <c r="F1532" s="1"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row>
    <row r="1533" spans="1:17" ht="12.5" x14ac:dyDescent="0.25">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ht="12.5" x14ac:dyDescent="0.25">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ht="12.5" x14ac:dyDescent="0.25">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ht="12.5" x14ac:dyDescent="0.25">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ht="12.5" x14ac:dyDescent="0.25">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ht="12.5" x14ac:dyDescent="0.25">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ht="12.5" x14ac:dyDescent="0.25">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ht="12.5" x14ac:dyDescent="0.25">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ht="12.5" x14ac:dyDescent="0.25">
      <c r="A1541" s="1" t="s">
        <v>1628</v>
      </c>
      <c r="B1541" s="1" t="s">
        <v>33</v>
      </c>
      <c r="C1541" s="1" t="s">
        <v>25</v>
      </c>
      <c r="D1541" s="1" t="s">
        <v>20</v>
      </c>
      <c r="E1541" s="1" t="s">
        <v>29</v>
      </c>
      <c r="F1541" s="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row>
    <row r="1542" spans="1:17" ht="12.5" x14ac:dyDescent="0.25">
      <c r="A1542" s="1" t="s">
        <v>1629</v>
      </c>
      <c r="B1542" s="1" t="s">
        <v>18</v>
      </c>
      <c r="C1542" s="1" t="s">
        <v>19</v>
      </c>
      <c r="D1542" s="1" t="s">
        <v>20</v>
      </c>
      <c r="E1542" s="1" t="s">
        <v>21</v>
      </c>
      <c r="F1542" s="1"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row>
    <row r="1543" spans="1:17" ht="12.5" x14ac:dyDescent="0.25">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ht="12.5" x14ac:dyDescent="0.25">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ht="12.5" x14ac:dyDescent="0.25">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ht="12.5" x14ac:dyDescent="0.25">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ht="12.5" x14ac:dyDescent="0.25">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ht="12.5" x14ac:dyDescent="0.25">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ht="12.5" x14ac:dyDescent="0.25">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ht="12.5" x14ac:dyDescent="0.25">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ht="12.5" x14ac:dyDescent="0.25">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ht="12.5" x14ac:dyDescent="0.25">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ht="12.5" x14ac:dyDescent="0.25">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ht="12.5" x14ac:dyDescent="0.25">
      <c r="A1554" s="1" t="s">
        <v>1641</v>
      </c>
      <c r="B1554" s="1" t="s">
        <v>54</v>
      </c>
      <c r="C1554" s="1" t="s">
        <v>25</v>
      </c>
      <c r="D1554" s="1" t="s">
        <v>28</v>
      </c>
      <c r="E1554" s="1" t="s">
        <v>21</v>
      </c>
      <c r="F1554" s="1"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row>
    <row r="1555" spans="1:17" ht="12.5" x14ac:dyDescent="0.25">
      <c r="A1555" s="1" t="s">
        <v>1642</v>
      </c>
      <c r="B1555" s="1" t="s">
        <v>18</v>
      </c>
      <c r="C1555" s="1" t="s">
        <v>25</v>
      </c>
      <c r="D1555" s="1" t="s">
        <v>28</v>
      </c>
      <c r="E1555" s="1" t="s">
        <v>29</v>
      </c>
      <c r="F1555" s="1"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row>
    <row r="1556" spans="1:17" ht="12.5" x14ac:dyDescent="0.25">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ht="12.5" x14ac:dyDescent="0.25">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ht="12.5" x14ac:dyDescent="0.25">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ht="12.5" x14ac:dyDescent="0.25">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ht="12.5" x14ac:dyDescent="0.25">
      <c r="A1560" s="1" t="s">
        <v>1647</v>
      </c>
      <c r="B1560" s="1" t="s">
        <v>18</v>
      </c>
      <c r="C1560" s="1" t="s">
        <v>19</v>
      </c>
      <c r="D1560" s="1" t="s">
        <v>28</v>
      </c>
      <c r="E1560" s="1" t="s">
        <v>21</v>
      </c>
      <c r="F1560" s="1"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row>
    <row r="1561" spans="1:17" ht="12.5" x14ac:dyDescent="0.25">
      <c r="A1561" s="1" t="s">
        <v>1648</v>
      </c>
      <c r="B1561" s="1" t="s">
        <v>54</v>
      </c>
      <c r="C1561" s="1" t="s">
        <v>25</v>
      </c>
      <c r="D1561" s="1" t="s">
        <v>20</v>
      </c>
      <c r="E1561" s="1" t="s">
        <v>21</v>
      </c>
      <c r="F1561" s="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row>
    <row r="1562" spans="1:17" ht="12.5" x14ac:dyDescent="0.25">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ht="12.5" x14ac:dyDescent="0.25">
      <c r="A1563" s="1" t="s">
        <v>1650</v>
      </c>
      <c r="B1563" s="1" t="s">
        <v>18</v>
      </c>
      <c r="C1563" s="1" t="s">
        <v>19</v>
      </c>
      <c r="D1563" s="1" t="s">
        <v>20</v>
      </c>
      <c r="E1563" s="1" t="s">
        <v>21</v>
      </c>
      <c r="F1563" s="1"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row>
    <row r="1564" spans="1:17" ht="12.5" x14ac:dyDescent="0.25">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ht="12.5" x14ac:dyDescent="0.25">
      <c r="A1565" s="1" t="s">
        <v>1652</v>
      </c>
      <c r="B1565" s="1" t="s">
        <v>18</v>
      </c>
      <c r="C1565" s="1" t="s">
        <v>27</v>
      </c>
      <c r="D1565" s="1" t="s">
        <v>28</v>
      </c>
      <c r="E1565" s="1" t="s">
        <v>29</v>
      </c>
      <c r="F1565" s="1" t="s">
        <v>84</v>
      </c>
      <c r="G1565" s="1">
        <v>45.48</v>
      </c>
      <c r="H1565" s="1">
        <v>10</v>
      </c>
      <c r="I1565" s="1">
        <v>22.74</v>
      </c>
      <c r="J1565" s="1">
        <v>477.54</v>
      </c>
      <c r="K1565" s="4">
        <v>43468</v>
      </c>
      <c r="L1565" s="3">
        <v>0.43194444444444446</v>
      </c>
      <c r="M1565" s="1" t="s">
        <v>48</v>
      </c>
      <c r="N1565" s="1">
        <v>454.8</v>
      </c>
      <c r="O1565" s="1">
        <v>4.7619047620000003</v>
      </c>
      <c r="P1565" s="1">
        <v>22.74</v>
      </c>
      <c r="Q1565" s="1">
        <v>4.8</v>
      </c>
    </row>
    <row r="1566" spans="1:17" ht="12.5" x14ac:dyDescent="0.25">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ht="12.5" x14ac:dyDescent="0.25">
      <c r="A1567" s="1" t="s">
        <v>1654</v>
      </c>
      <c r="B1567" s="1" t="s">
        <v>18</v>
      </c>
      <c r="C1567" s="1" t="s">
        <v>19</v>
      </c>
      <c r="D1567" s="1" t="s">
        <v>28</v>
      </c>
      <c r="E1567" s="1" t="s">
        <v>21</v>
      </c>
      <c r="F1567" s="1"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row>
    <row r="1568" spans="1:17" ht="12.5" x14ac:dyDescent="0.25">
      <c r="A1568" s="1" t="s">
        <v>1655</v>
      </c>
      <c r="B1568" s="1" t="s">
        <v>18</v>
      </c>
      <c r="C1568" s="1" t="s">
        <v>19</v>
      </c>
      <c r="D1568" s="1" t="s">
        <v>28</v>
      </c>
      <c r="E1568" s="1" t="s">
        <v>21</v>
      </c>
      <c r="F1568" s="1"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row>
    <row r="1569" spans="1:17" ht="12.5" x14ac:dyDescent="0.25">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ht="12.5" x14ac:dyDescent="0.25">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ht="12.5" x14ac:dyDescent="0.25">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ht="12.5" x14ac:dyDescent="0.25">
      <c r="A1572" s="1" t="s">
        <v>1659</v>
      </c>
      <c r="B1572" s="1" t="s">
        <v>18</v>
      </c>
      <c r="C1572" s="1" t="s">
        <v>25</v>
      </c>
      <c r="D1572" s="1" t="s">
        <v>20</v>
      </c>
      <c r="E1572" s="1" t="s">
        <v>21</v>
      </c>
      <c r="F1572" s="1"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row>
    <row r="1573" spans="1:17" ht="12.5" x14ac:dyDescent="0.25">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ht="12.5" x14ac:dyDescent="0.25">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ht="12.5" x14ac:dyDescent="0.25">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ht="12.5" x14ac:dyDescent="0.25">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ht="12.5" x14ac:dyDescent="0.25">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ht="12.5" x14ac:dyDescent="0.25">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ht="12.5" x14ac:dyDescent="0.25">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ht="12.5" x14ac:dyDescent="0.25">
      <c r="A1580" s="1" t="s">
        <v>1667</v>
      </c>
      <c r="B1580" s="1" t="s">
        <v>18</v>
      </c>
      <c r="C1580" s="1" t="s">
        <v>25</v>
      </c>
      <c r="D1580" s="1" t="s">
        <v>20</v>
      </c>
      <c r="E1580" s="1" t="s">
        <v>29</v>
      </c>
      <c r="F1580" s="1"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row>
    <row r="1581" spans="1:17" ht="12.5" x14ac:dyDescent="0.25">
      <c r="A1581" s="1" t="s">
        <v>1668</v>
      </c>
      <c r="B1581" s="1" t="s">
        <v>18</v>
      </c>
      <c r="C1581" s="1" t="s">
        <v>25</v>
      </c>
      <c r="D1581" s="1" t="s">
        <v>20</v>
      </c>
      <c r="E1581" s="1" t="s">
        <v>29</v>
      </c>
      <c r="F1581" s="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row>
    <row r="1582" spans="1:17" ht="12.5" x14ac:dyDescent="0.25">
      <c r="A1582" s="1" t="s">
        <v>1669</v>
      </c>
      <c r="B1582" s="1" t="s">
        <v>54</v>
      </c>
      <c r="C1582" s="1" t="s">
        <v>25</v>
      </c>
      <c r="D1582" s="1" t="s">
        <v>28</v>
      </c>
      <c r="E1582" s="1" t="s">
        <v>29</v>
      </c>
      <c r="F1582" s="1"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row>
    <row r="1583" spans="1:17" ht="12.5" x14ac:dyDescent="0.25">
      <c r="A1583" s="1" t="s">
        <v>1670</v>
      </c>
      <c r="B1583" s="1" t="s">
        <v>54</v>
      </c>
      <c r="C1583" s="1" t="s">
        <v>25</v>
      </c>
      <c r="D1583" s="1" t="s">
        <v>28</v>
      </c>
      <c r="E1583" s="1" t="s">
        <v>21</v>
      </c>
      <c r="F1583" s="1"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row>
    <row r="1584" spans="1:17" ht="12.5" x14ac:dyDescent="0.25">
      <c r="A1584" s="1" t="s">
        <v>1671</v>
      </c>
      <c r="B1584" s="1" t="s">
        <v>54</v>
      </c>
      <c r="C1584" s="1" t="s">
        <v>25</v>
      </c>
      <c r="D1584" s="1" t="s">
        <v>28</v>
      </c>
      <c r="E1584" s="1" t="s">
        <v>21</v>
      </c>
      <c r="F1584" s="1"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row>
    <row r="1585" spans="1:17" ht="12.5" x14ac:dyDescent="0.25">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ht="12.5" x14ac:dyDescent="0.25">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ht="12.5" x14ac:dyDescent="0.25">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ht="12.5" x14ac:dyDescent="0.25">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ht="12.5" x14ac:dyDescent="0.25">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ht="12.5" x14ac:dyDescent="0.25">
      <c r="A1590" s="1" t="s">
        <v>1677</v>
      </c>
      <c r="B1590" s="1" t="s">
        <v>33</v>
      </c>
      <c r="C1590" s="1" t="s">
        <v>25</v>
      </c>
      <c r="D1590" s="1" t="s">
        <v>28</v>
      </c>
      <c r="E1590" s="1" t="s">
        <v>21</v>
      </c>
      <c r="F1590" s="1"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row>
    <row r="1591" spans="1:17" ht="12.5" x14ac:dyDescent="0.25">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ht="12.5" x14ac:dyDescent="0.25">
      <c r="A1592" s="1" t="s">
        <v>1679</v>
      </c>
      <c r="B1592" s="1" t="s">
        <v>33</v>
      </c>
      <c r="C1592" s="1" t="s">
        <v>25</v>
      </c>
      <c r="D1592" s="1" t="s">
        <v>20</v>
      </c>
      <c r="E1592" s="1" t="s">
        <v>21</v>
      </c>
      <c r="F1592" s="1" t="s">
        <v>44</v>
      </c>
      <c r="G1592" s="1">
        <v>58.9</v>
      </c>
      <c r="H1592" s="1">
        <v>8</v>
      </c>
      <c r="I1592" s="1">
        <v>23.56</v>
      </c>
      <c r="J1592" s="1">
        <v>494.76</v>
      </c>
      <c r="K1592" s="4">
        <v>43617</v>
      </c>
      <c r="L1592" s="3">
        <v>0.47430555555555554</v>
      </c>
      <c r="M1592" s="1" t="s">
        <v>23</v>
      </c>
      <c r="N1592" s="1">
        <v>471.2</v>
      </c>
      <c r="O1592" s="1">
        <v>4.7619047620000003</v>
      </c>
      <c r="P1592" s="1">
        <v>23.56</v>
      </c>
      <c r="Q1592" s="1">
        <v>8.9</v>
      </c>
    </row>
    <row r="1593" spans="1:17" ht="12.5" x14ac:dyDescent="0.25">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ht="12.5" x14ac:dyDescent="0.25">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ht="12.5" x14ac:dyDescent="0.25">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ht="12.5" x14ac:dyDescent="0.25">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ht="12.5" x14ac:dyDescent="0.25">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ht="12.5" x14ac:dyDescent="0.25">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ht="12.5" x14ac:dyDescent="0.25">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ht="12.5" x14ac:dyDescent="0.25">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ht="12.5" x14ac:dyDescent="0.25">
      <c r="A1601" s="1" t="s">
        <v>1688</v>
      </c>
      <c r="B1601" s="1" t="s">
        <v>33</v>
      </c>
      <c r="C1601" s="1" t="s">
        <v>27</v>
      </c>
      <c r="D1601" s="1" t="s">
        <v>20</v>
      </c>
      <c r="E1601" s="1" t="s">
        <v>29</v>
      </c>
      <c r="F1601" s="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row>
    <row r="1602" spans="1:17" ht="12.5" x14ac:dyDescent="0.25">
      <c r="A1602" s="1" t="s">
        <v>1689</v>
      </c>
      <c r="B1602" s="1" t="s">
        <v>33</v>
      </c>
      <c r="C1602" s="1" t="s">
        <v>19</v>
      </c>
      <c r="D1602" s="1" t="s">
        <v>20</v>
      </c>
      <c r="E1602" s="1" t="s">
        <v>29</v>
      </c>
      <c r="F1602" s="1"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row>
    <row r="1603" spans="1:17" ht="12.5" x14ac:dyDescent="0.25">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ht="12.5" x14ac:dyDescent="0.25">
      <c r="A1604" s="1" t="s">
        <v>1691</v>
      </c>
      <c r="B1604" s="1" t="s">
        <v>18</v>
      </c>
      <c r="C1604" s="1" t="s">
        <v>19</v>
      </c>
      <c r="D1604" s="1" t="s">
        <v>28</v>
      </c>
      <c r="E1604" s="1" t="s">
        <v>29</v>
      </c>
      <c r="F1604" s="1"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row>
    <row r="1605" spans="1:17" ht="12.5" x14ac:dyDescent="0.25">
      <c r="A1605" s="1" t="s">
        <v>1692</v>
      </c>
      <c r="B1605" s="1" t="s">
        <v>18</v>
      </c>
      <c r="C1605" s="1" t="s">
        <v>19</v>
      </c>
      <c r="D1605" s="1" t="s">
        <v>28</v>
      </c>
      <c r="E1605" s="1" t="s">
        <v>29</v>
      </c>
      <c r="F1605" s="1"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row>
    <row r="1606" spans="1:17" ht="12.5" x14ac:dyDescent="0.25">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ht="12.5" x14ac:dyDescent="0.25">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ht="12.5" x14ac:dyDescent="0.25">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ht="12.5" x14ac:dyDescent="0.25">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ht="12.5" x14ac:dyDescent="0.25">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ht="12.5" x14ac:dyDescent="0.25">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ht="12.5" x14ac:dyDescent="0.25">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ht="12.5" x14ac:dyDescent="0.25">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ht="12.5" x14ac:dyDescent="0.25">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ht="12.5" x14ac:dyDescent="0.25">
      <c r="A1615" s="1" t="s">
        <v>1702</v>
      </c>
      <c r="B1615" s="1" t="s">
        <v>18</v>
      </c>
      <c r="C1615" s="1" t="s">
        <v>27</v>
      </c>
      <c r="D1615" s="1" t="s">
        <v>20</v>
      </c>
      <c r="E1615" s="1" t="s">
        <v>21</v>
      </c>
      <c r="F1615" s="1"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row>
    <row r="1616" spans="1:17" ht="12.5" x14ac:dyDescent="0.25">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ht="12.5" x14ac:dyDescent="0.25">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ht="12.5" x14ac:dyDescent="0.25">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ht="12.5" x14ac:dyDescent="0.25">
      <c r="A1619" s="1" t="s">
        <v>1706</v>
      </c>
      <c r="B1619" s="1" t="s">
        <v>33</v>
      </c>
      <c r="C1619" s="1" t="s">
        <v>27</v>
      </c>
      <c r="D1619" s="1" t="s">
        <v>20</v>
      </c>
      <c r="E1619" s="1" t="s">
        <v>21</v>
      </c>
      <c r="F1619" s="1"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row>
    <row r="1620" spans="1:17" ht="12.5" x14ac:dyDescent="0.25">
      <c r="A1620" s="1" t="s">
        <v>1707</v>
      </c>
      <c r="B1620" s="1" t="s">
        <v>18</v>
      </c>
      <c r="C1620" s="1" t="s">
        <v>19</v>
      </c>
      <c r="D1620" s="1" t="s">
        <v>28</v>
      </c>
      <c r="E1620" s="1" t="s">
        <v>21</v>
      </c>
      <c r="F1620" s="1" t="s">
        <v>55</v>
      </c>
      <c r="G1620" s="1">
        <v>81.3</v>
      </c>
      <c r="H1620" s="1">
        <v>6</v>
      </c>
      <c r="I1620" s="1">
        <v>24.39</v>
      </c>
      <c r="J1620" s="1">
        <v>512.19000000000005</v>
      </c>
      <c r="K1620" s="4">
        <v>43680</v>
      </c>
      <c r="L1620" s="3">
        <v>0.69652777777777775</v>
      </c>
      <c r="M1620" s="1" t="s">
        <v>40</v>
      </c>
      <c r="N1620" s="1">
        <v>487.8</v>
      </c>
      <c r="O1620" s="1">
        <v>4.7619047620000003</v>
      </c>
      <c r="P1620" s="1">
        <v>24.39</v>
      </c>
      <c r="Q1620" s="1">
        <v>5.3</v>
      </c>
    </row>
    <row r="1621" spans="1:17" ht="12.5" x14ac:dyDescent="0.25">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ht="12.5" x14ac:dyDescent="0.25">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ht="12.5" x14ac:dyDescent="0.25">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ht="12.5" x14ac:dyDescent="0.25">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ht="12.5" x14ac:dyDescent="0.25">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ht="12.5" x14ac:dyDescent="0.25">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ht="12.5" x14ac:dyDescent="0.25">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ht="12.5" x14ac:dyDescent="0.25">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ht="12.5" x14ac:dyDescent="0.25">
      <c r="A1629" s="1" t="s">
        <v>1716</v>
      </c>
      <c r="B1629" s="1" t="s">
        <v>18</v>
      </c>
      <c r="C1629" s="1" t="s">
        <v>19</v>
      </c>
      <c r="D1629" s="1" t="s">
        <v>28</v>
      </c>
      <c r="E1629" s="1" t="s">
        <v>21</v>
      </c>
      <c r="F1629" s="1"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row>
    <row r="1630" spans="1:17" ht="12.5" x14ac:dyDescent="0.25">
      <c r="A1630" s="1" t="s">
        <v>1717</v>
      </c>
      <c r="B1630" s="1" t="s">
        <v>18</v>
      </c>
      <c r="C1630" s="1" t="s">
        <v>19</v>
      </c>
      <c r="D1630" s="1" t="s">
        <v>28</v>
      </c>
      <c r="E1630" s="1" t="s">
        <v>29</v>
      </c>
      <c r="F1630" s="1"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row>
    <row r="1631" spans="1:17" ht="12.5" x14ac:dyDescent="0.25">
      <c r="A1631" s="1" t="s">
        <v>1718</v>
      </c>
      <c r="B1631" s="1" t="s">
        <v>54</v>
      </c>
      <c r="C1631" s="1" t="s">
        <v>25</v>
      </c>
      <c r="D1631" s="1" t="s">
        <v>20</v>
      </c>
      <c r="E1631" s="1" t="s">
        <v>21</v>
      </c>
      <c r="F1631" s="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row>
    <row r="1632" spans="1:17" ht="12.5" x14ac:dyDescent="0.25">
      <c r="A1632" s="1" t="s">
        <v>1719</v>
      </c>
      <c r="B1632" s="1" t="s">
        <v>54</v>
      </c>
      <c r="C1632" s="1" t="s">
        <v>25</v>
      </c>
      <c r="D1632" s="1" t="s">
        <v>20</v>
      </c>
      <c r="E1632" s="1" t="s">
        <v>21</v>
      </c>
      <c r="F1632" s="1"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row>
    <row r="1633" spans="1:17" ht="12.5" x14ac:dyDescent="0.25">
      <c r="A1633" s="1" t="s">
        <v>1720</v>
      </c>
      <c r="B1633" s="1" t="s">
        <v>54</v>
      </c>
      <c r="C1633" s="1" t="s">
        <v>25</v>
      </c>
      <c r="D1633" s="1" t="s">
        <v>20</v>
      </c>
      <c r="E1633" s="1" t="s">
        <v>21</v>
      </c>
      <c r="F1633" s="1" t="s">
        <v>55</v>
      </c>
      <c r="G1633" s="1">
        <v>62</v>
      </c>
      <c r="H1633" s="1">
        <v>8</v>
      </c>
      <c r="I1633" s="1">
        <v>24.8</v>
      </c>
      <c r="J1633" s="1">
        <v>520.79999999999995</v>
      </c>
      <c r="K1633" s="4">
        <v>43525</v>
      </c>
      <c r="L1633" s="3">
        <v>0.79722222222222228</v>
      </c>
      <c r="M1633" s="1" t="s">
        <v>23</v>
      </c>
      <c r="N1633" s="1">
        <v>496</v>
      </c>
      <c r="O1633" s="1">
        <v>4.7619047620000003</v>
      </c>
      <c r="P1633" s="1">
        <v>24.8</v>
      </c>
      <c r="Q1633" s="1">
        <v>6.2</v>
      </c>
    </row>
    <row r="1634" spans="1:17" ht="12.5" x14ac:dyDescent="0.25">
      <c r="A1634" s="1" t="s">
        <v>1721</v>
      </c>
      <c r="B1634" s="1" t="s">
        <v>54</v>
      </c>
      <c r="C1634" s="1" t="s">
        <v>25</v>
      </c>
      <c r="D1634" s="1" t="s">
        <v>28</v>
      </c>
      <c r="E1634" s="1" t="s">
        <v>21</v>
      </c>
      <c r="F1634" s="1" t="s">
        <v>44</v>
      </c>
      <c r="G1634" s="1">
        <v>82.7</v>
      </c>
      <c r="H1634" s="1">
        <v>6</v>
      </c>
      <c r="I1634" s="1">
        <v>24.81</v>
      </c>
      <c r="J1634" s="1">
        <v>521.01</v>
      </c>
      <c r="K1634" s="4">
        <v>43588</v>
      </c>
      <c r="L1634" s="3">
        <v>0.75972222222222219</v>
      </c>
      <c r="M1634" s="1" t="s">
        <v>23</v>
      </c>
      <c r="N1634" s="1">
        <v>496.2</v>
      </c>
      <c r="O1634" s="1">
        <v>4.7619047620000003</v>
      </c>
      <c r="P1634" s="1">
        <v>24.81</v>
      </c>
      <c r="Q1634" s="1">
        <v>7.4</v>
      </c>
    </row>
    <row r="1635" spans="1:17" ht="12.5" x14ac:dyDescent="0.25">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ht="12.5" x14ac:dyDescent="0.25">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ht="12.5" x14ac:dyDescent="0.25">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ht="12.5" x14ac:dyDescent="0.25">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ht="12.5" x14ac:dyDescent="0.25">
      <c r="A1639" s="1" t="s">
        <v>1726</v>
      </c>
      <c r="B1639" s="1" t="s">
        <v>33</v>
      </c>
      <c r="C1639" s="1" t="s">
        <v>25</v>
      </c>
      <c r="D1639" s="1" t="s">
        <v>28</v>
      </c>
      <c r="E1639" s="1" t="s">
        <v>21</v>
      </c>
      <c r="F1639" s="1"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row>
    <row r="1640" spans="1:17" ht="12.5" x14ac:dyDescent="0.25">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ht="12.5" x14ac:dyDescent="0.25">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ht="12.5" x14ac:dyDescent="0.25">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ht="12.5" x14ac:dyDescent="0.25">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ht="12.5" x14ac:dyDescent="0.25">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ht="12.5" x14ac:dyDescent="0.25">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ht="12.5" x14ac:dyDescent="0.25">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ht="12.5" x14ac:dyDescent="0.25">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ht="12.5" x14ac:dyDescent="0.25">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ht="12.5" x14ac:dyDescent="0.25">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ht="12.5" x14ac:dyDescent="0.25">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ht="12.5" x14ac:dyDescent="0.25">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ht="12.5" x14ac:dyDescent="0.25">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ht="12.5" x14ac:dyDescent="0.25">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ht="12.5" x14ac:dyDescent="0.25">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ht="12.5" x14ac:dyDescent="0.25">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ht="12.5" x14ac:dyDescent="0.25">
      <c r="A1656" s="1" t="s">
        <v>1743</v>
      </c>
      <c r="B1656" s="1" t="s">
        <v>33</v>
      </c>
      <c r="C1656" s="1" t="s">
        <v>27</v>
      </c>
      <c r="D1656" s="1" t="s">
        <v>28</v>
      </c>
      <c r="E1656" s="1" t="s">
        <v>21</v>
      </c>
      <c r="F1656" s="1"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row>
    <row r="1657" spans="1:17" ht="12.5" x14ac:dyDescent="0.25">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ht="12.5" x14ac:dyDescent="0.25">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ht="12.5" x14ac:dyDescent="0.25">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ht="12.5" x14ac:dyDescent="0.25">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ht="12.5" x14ac:dyDescent="0.25">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ht="12.5" x14ac:dyDescent="0.25">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ht="12.5" x14ac:dyDescent="0.25">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ht="12.5" x14ac:dyDescent="0.25">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ht="12.5" x14ac:dyDescent="0.25">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ht="12.5" x14ac:dyDescent="0.25">
      <c r="A1666" s="1" t="s">
        <v>1753</v>
      </c>
      <c r="B1666" s="1" t="s">
        <v>18</v>
      </c>
      <c r="C1666" s="1" t="s">
        <v>19</v>
      </c>
      <c r="D1666" s="1" t="s">
        <v>20</v>
      </c>
      <c r="E1666" s="1" t="s">
        <v>29</v>
      </c>
      <c r="F1666" s="1"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row>
    <row r="1667" spans="1:17" ht="12.5" x14ac:dyDescent="0.25">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ht="12.5" x14ac:dyDescent="0.25">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ht="12.5" x14ac:dyDescent="0.25">
      <c r="A1669" s="1" t="s">
        <v>1756</v>
      </c>
      <c r="B1669" s="1" t="s">
        <v>18</v>
      </c>
      <c r="C1669" s="1" t="s">
        <v>19</v>
      </c>
      <c r="D1669" s="1" t="s">
        <v>28</v>
      </c>
      <c r="E1669" s="1" t="s">
        <v>29</v>
      </c>
      <c r="F1669" s="1"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row>
    <row r="1670" spans="1:17" ht="12.5" x14ac:dyDescent="0.25">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ht="12.5" x14ac:dyDescent="0.25">
      <c r="A1671" s="1" t="s">
        <v>1758</v>
      </c>
      <c r="B1671" s="1" t="s">
        <v>18</v>
      </c>
      <c r="C1671" s="1" t="s">
        <v>19</v>
      </c>
      <c r="D1671" s="1" t="s">
        <v>28</v>
      </c>
      <c r="E1671" s="1" t="s">
        <v>21</v>
      </c>
      <c r="F1671" s="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row>
    <row r="1672" spans="1:17" ht="12.5" x14ac:dyDescent="0.25">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ht="12.5" x14ac:dyDescent="0.25">
      <c r="A1673" s="1" t="s">
        <v>1760</v>
      </c>
      <c r="B1673" s="1" t="s">
        <v>33</v>
      </c>
      <c r="C1673" s="1" t="s">
        <v>27</v>
      </c>
      <c r="D1673" s="1" t="s">
        <v>20</v>
      </c>
      <c r="E1673" s="1" t="s">
        <v>21</v>
      </c>
      <c r="F1673" s="1" t="s">
        <v>55</v>
      </c>
      <c r="G1673" s="1">
        <v>51.94</v>
      </c>
      <c r="H1673" s="1">
        <v>10</v>
      </c>
      <c r="I1673" s="1">
        <v>25.97</v>
      </c>
      <c r="J1673" s="1">
        <v>545.37</v>
      </c>
      <c r="K1673" s="4">
        <v>43711</v>
      </c>
      <c r="L1673" s="3">
        <v>0.76666666666666672</v>
      </c>
      <c r="M1673" s="1" t="s">
        <v>40</v>
      </c>
      <c r="N1673" s="1">
        <v>519.4</v>
      </c>
      <c r="O1673" s="1">
        <v>4.7619047620000003</v>
      </c>
      <c r="P1673" s="1">
        <v>25.97</v>
      </c>
      <c r="Q1673" s="1">
        <v>6.5</v>
      </c>
    </row>
    <row r="1674" spans="1:17" ht="12.5" x14ac:dyDescent="0.25">
      <c r="A1674" s="1" t="s">
        <v>1761</v>
      </c>
      <c r="B1674" s="1" t="s">
        <v>33</v>
      </c>
      <c r="C1674" s="1" t="s">
        <v>25</v>
      </c>
      <c r="D1674" s="1" t="s">
        <v>28</v>
      </c>
      <c r="E1674" s="1" t="s">
        <v>21</v>
      </c>
      <c r="F1674" s="1"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row>
    <row r="1675" spans="1:17" ht="12.5" x14ac:dyDescent="0.25">
      <c r="A1675" s="1" t="s">
        <v>1762</v>
      </c>
      <c r="B1675" s="1" t="s">
        <v>33</v>
      </c>
      <c r="C1675" s="1" t="s">
        <v>27</v>
      </c>
      <c r="D1675" s="1" t="s">
        <v>28</v>
      </c>
      <c r="E1675" s="1" t="s">
        <v>21</v>
      </c>
      <c r="F1675" s="1"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row>
    <row r="1676" spans="1:17" ht="12.5" x14ac:dyDescent="0.25">
      <c r="A1676" s="1" t="s">
        <v>1763</v>
      </c>
      <c r="B1676" s="1" t="s">
        <v>18</v>
      </c>
      <c r="C1676" s="1" t="s">
        <v>25</v>
      </c>
      <c r="D1676" s="1" t="s">
        <v>28</v>
      </c>
      <c r="E1676" s="1" t="s">
        <v>21</v>
      </c>
      <c r="F1676" s="1"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row>
    <row r="1677" spans="1:17" ht="12.5" x14ac:dyDescent="0.25">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ht="12.5" x14ac:dyDescent="0.25">
      <c r="A1678" s="1" t="s">
        <v>1765</v>
      </c>
      <c r="B1678" s="1" t="s">
        <v>33</v>
      </c>
      <c r="C1678" s="1" t="s">
        <v>27</v>
      </c>
      <c r="D1678" s="1" t="s">
        <v>20</v>
      </c>
      <c r="E1678" s="1" t="s">
        <v>21</v>
      </c>
      <c r="F1678" s="1" t="s">
        <v>22</v>
      </c>
      <c r="G1678" s="1">
        <v>52.26</v>
      </c>
      <c r="H1678" s="1">
        <v>10</v>
      </c>
      <c r="I1678" s="1">
        <v>26.13</v>
      </c>
      <c r="J1678" s="1">
        <v>548.73</v>
      </c>
      <c r="K1678" s="4">
        <v>43711</v>
      </c>
      <c r="L1678" s="3">
        <v>0.53125</v>
      </c>
      <c r="M1678" s="1" t="s">
        <v>48</v>
      </c>
      <c r="N1678" s="1">
        <v>522.6</v>
      </c>
      <c r="O1678" s="1">
        <v>4.7619047620000003</v>
      </c>
      <c r="P1678" s="1">
        <v>26.13</v>
      </c>
      <c r="Q1678" s="1">
        <v>6.2</v>
      </c>
    </row>
    <row r="1679" spans="1:17" ht="12.5" x14ac:dyDescent="0.25">
      <c r="A1679" s="1" t="s">
        <v>1766</v>
      </c>
      <c r="B1679" s="1" t="s">
        <v>18</v>
      </c>
      <c r="C1679" s="1" t="s">
        <v>27</v>
      </c>
      <c r="D1679" s="1" t="s">
        <v>20</v>
      </c>
      <c r="E1679" s="1" t="s">
        <v>29</v>
      </c>
      <c r="F1679" s="1" t="s">
        <v>22</v>
      </c>
      <c r="G1679" s="1">
        <v>52.26</v>
      </c>
      <c r="H1679" s="1">
        <v>10</v>
      </c>
      <c r="I1679" s="1">
        <v>26.13</v>
      </c>
      <c r="J1679" s="1">
        <v>548.73</v>
      </c>
      <c r="K1679" s="4">
        <v>43711</v>
      </c>
      <c r="L1679" s="3">
        <v>0.53125</v>
      </c>
      <c r="M1679" s="1" t="s">
        <v>23</v>
      </c>
      <c r="N1679" s="1">
        <v>522.6</v>
      </c>
      <c r="O1679" s="1">
        <v>4.7619047620000003</v>
      </c>
      <c r="P1679" s="1">
        <v>26.13</v>
      </c>
      <c r="Q1679" s="1">
        <v>6.2</v>
      </c>
    </row>
    <row r="1680" spans="1:17" ht="12.5" x14ac:dyDescent="0.25">
      <c r="A1680" s="1" t="s">
        <v>1767</v>
      </c>
      <c r="B1680" s="1" t="s">
        <v>18</v>
      </c>
      <c r="C1680" s="1" t="s">
        <v>27</v>
      </c>
      <c r="D1680" s="1" t="s">
        <v>20</v>
      </c>
      <c r="E1680" s="1" t="s">
        <v>29</v>
      </c>
      <c r="F1680" s="1" t="s">
        <v>22</v>
      </c>
      <c r="G1680" s="1">
        <v>52.26</v>
      </c>
      <c r="H1680" s="1">
        <v>10</v>
      </c>
      <c r="I1680" s="1">
        <v>26.13</v>
      </c>
      <c r="J1680" s="1">
        <v>548.73</v>
      </c>
      <c r="K1680" s="4">
        <v>43711</v>
      </c>
      <c r="L1680" s="3">
        <v>0.53125</v>
      </c>
      <c r="M1680" s="1" t="s">
        <v>23</v>
      </c>
      <c r="N1680" s="1">
        <v>522.6</v>
      </c>
      <c r="O1680" s="1">
        <v>4.7619047620000003</v>
      </c>
      <c r="P1680" s="1">
        <v>26.13</v>
      </c>
      <c r="Q1680" s="1">
        <v>6.2</v>
      </c>
    </row>
    <row r="1681" spans="1:17" ht="12.5" x14ac:dyDescent="0.25">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ht="12.5" x14ac:dyDescent="0.25">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ht="12.5" x14ac:dyDescent="0.25">
      <c r="A1683" s="1" t="s">
        <v>1770</v>
      </c>
      <c r="B1683" s="1" t="s">
        <v>33</v>
      </c>
      <c r="C1683" s="1" t="s">
        <v>27</v>
      </c>
      <c r="D1683" s="1" t="s">
        <v>28</v>
      </c>
      <c r="E1683" s="1" t="s">
        <v>21</v>
      </c>
      <c r="F1683" s="1"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row>
    <row r="1684" spans="1:17" ht="12.5" x14ac:dyDescent="0.25">
      <c r="A1684" s="1" t="s">
        <v>1771</v>
      </c>
      <c r="B1684" s="1" t="s">
        <v>18</v>
      </c>
      <c r="C1684" s="1" t="s">
        <v>25</v>
      </c>
      <c r="D1684" s="1" t="s">
        <v>28</v>
      </c>
      <c r="E1684" s="1" t="s">
        <v>29</v>
      </c>
      <c r="F1684" s="1"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row>
    <row r="1685" spans="1:17" ht="12.5" x14ac:dyDescent="0.25">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ht="12.5" x14ac:dyDescent="0.25">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ht="12.5" x14ac:dyDescent="0.25">
      <c r="A1687" s="1" t="s">
        <v>1774</v>
      </c>
      <c r="B1687" s="1" t="s">
        <v>18</v>
      </c>
      <c r="C1687" s="1" t="s">
        <v>19</v>
      </c>
      <c r="D1687" s="1" t="s">
        <v>20</v>
      </c>
      <c r="E1687" s="1" t="s">
        <v>29</v>
      </c>
      <c r="F1687" s="1"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row>
    <row r="1688" spans="1:17" ht="12.5" x14ac:dyDescent="0.25">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ht="12.5" x14ac:dyDescent="0.25">
      <c r="A1689" s="1" t="s">
        <v>1776</v>
      </c>
      <c r="B1689" s="1" t="s">
        <v>18</v>
      </c>
      <c r="C1689" s="1" t="s">
        <v>19</v>
      </c>
      <c r="D1689" s="1" t="s">
        <v>20</v>
      </c>
      <c r="E1689" s="1" t="s">
        <v>29</v>
      </c>
      <c r="F1689" s="1"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row>
    <row r="1690" spans="1:17" ht="12.5" x14ac:dyDescent="0.25">
      <c r="A1690" s="1" t="s">
        <v>1777</v>
      </c>
      <c r="B1690" s="1" t="s">
        <v>18</v>
      </c>
      <c r="C1690" s="1" t="s">
        <v>19</v>
      </c>
      <c r="D1690" s="1" t="s">
        <v>28</v>
      </c>
      <c r="E1690" s="1" t="s">
        <v>21</v>
      </c>
      <c r="F1690" s="1"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row>
    <row r="1691" spans="1:17" ht="12.5" x14ac:dyDescent="0.25">
      <c r="A1691" s="1" t="s">
        <v>1778</v>
      </c>
      <c r="B1691" s="1" t="s">
        <v>18</v>
      </c>
      <c r="C1691" s="1" t="s">
        <v>19</v>
      </c>
      <c r="D1691" s="1" t="s">
        <v>28</v>
      </c>
      <c r="E1691" s="1" t="s">
        <v>21</v>
      </c>
      <c r="F1691" s="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row>
    <row r="1692" spans="1:17" ht="12.5" x14ac:dyDescent="0.25">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ht="12.5" x14ac:dyDescent="0.25">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ht="12.5" x14ac:dyDescent="0.25">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ht="12.5" x14ac:dyDescent="0.25">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ht="12.5" x14ac:dyDescent="0.25">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ht="12.5" x14ac:dyDescent="0.25">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ht="12.5" x14ac:dyDescent="0.25">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ht="12.5" x14ac:dyDescent="0.25">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ht="12.5" x14ac:dyDescent="0.25">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ht="12.5" x14ac:dyDescent="0.25">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ht="12.5" x14ac:dyDescent="0.25">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ht="12.5" x14ac:dyDescent="0.25">
      <c r="A1703" s="1" t="s">
        <v>1790</v>
      </c>
      <c r="B1703" s="1" t="s">
        <v>18</v>
      </c>
      <c r="C1703" s="1" t="s">
        <v>25</v>
      </c>
      <c r="D1703" s="1" t="s">
        <v>20</v>
      </c>
      <c r="E1703" s="1" t="s">
        <v>29</v>
      </c>
      <c r="F1703" s="1" t="s">
        <v>39</v>
      </c>
      <c r="G1703" s="1">
        <v>54.36</v>
      </c>
      <c r="H1703" s="1">
        <v>10</v>
      </c>
      <c r="I1703" s="1">
        <v>27.18</v>
      </c>
      <c r="J1703" s="1">
        <v>570.78</v>
      </c>
      <c r="K1703" s="4">
        <v>43648</v>
      </c>
      <c r="L1703" s="3">
        <v>0.4777777777777778</v>
      </c>
      <c r="M1703" s="1" t="s">
        <v>48</v>
      </c>
      <c r="N1703" s="1">
        <v>543.6</v>
      </c>
      <c r="O1703" s="1">
        <v>4.7619047620000003</v>
      </c>
      <c r="P1703" s="1">
        <v>27.18</v>
      </c>
      <c r="Q1703" s="1">
        <v>6.1</v>
      </c>
    </row>
    <row r="1704" spans="1:17" ht="12.5" x14ac:dyDescent="0.25">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ht="12.5" x14ac:dyDescent="0.25">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ht="12.5" x14ac:dyDescent="0.25">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ht="12.5" x14ac:dyDescent="0.25">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ht="12.5" x14ac:dyDescent="0.25">
      <c r="A1708" s="1" t="s">
        <v>1795</v>
      </c>
      <c r="B1708" s="1" t="s">
        <v>18</v>
      </c>
      <c r="C1708" s="1" t="s">
        <v>25</v>
      </c>
      <c r="D1708" s="1" t="s">
        <v>20</v>
      </c>
      <c r="E1708" s="1" t="s">
        <v>29</v>
      </c>
      <c r="F1708" s="1"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row>
    <row r="1709" spans="1:17" ht="12.5" x14ac:dyDescent="0.25">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ht="12.5" x14ac:dyDescent="0.25">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ht="12.5" x14ac:dyDescent="0.25">
      <c r="A1711" s="1" t="s">
        <v>1798</v>
      </c>
      <c r="B1711" s="1" t="s">
        <v>18</v>
      </c>
      <c r="C1711" s="1" t="s">
        <v>19</v>
      </c>
      <c r="D1711" s="1" t="s">
        <v>20</v>
      </c>
      <c r="E1711" s="1" t="s">
        <v>29</v>
      </c>
      <c r="F1711" s="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row>
    <row r="1712" spans="1:17" ht="12.5" x14ac:dyDescent="0.25">
      <c r="A1712" s="1" t="s">
        <v>1799</v>
      </c>
      <c r="B1712" s="1" t="s">
        <v>18</v>
      </c>
      <c r="C1712" s="1" t="s">
        <v>19</v>
      </c>
      <c r="D1712" s="1" t="s">
        <v>20</v>
      </c>
      <c r="E1712" s="1" t="s">
        <v>21</v>
      </c>
      <c r="F1712" s="1"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row>
    <row r="1713" spans="1:17" ht="12.5" x14ac:dyDescent="0.25">
      <c r="A1713" s="1" t="s">
        <v>1800</v>
      </c>
      <c r="B1713" s="1" t="s">
        <v>33</v>
      </c>
      <c r="C1713" s="1" t="s">
        <v>19</v>
      </c>
      <c r="D1713" s="1" t="s">
        <v>20</v>
      </c>
      <c r="E1713" s="1" t="s">
        <v>29</v>
      </c>
      <c r="F1713" s="1"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row>
    <row r="1714" spans="1:17" ht="12.5" x14ac:dyDescent="0.25">
      <c r="A1714" s="1" t="s">
        <v>1801</v>
      </c>
      <c r="B1714" s="1" t="s">
        <v>18</v>
      </c>
      <c r="C1714" s="1" t="s">
        <v>19</v>
      </c>
      <c r="D1714" s="1" t="s">
        <v>20</v>
      </c>
      <c r="E1714" s="1" t="s">
        <v>21</v>
      </c>
      <c r="F1714" s="1"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row>
    <row r="1715" spans="1:17" ht="12.5" x14ac:dyDescent="0.25">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ht="12.5" x14ac:dyDescent="0.25">
      <c r="A1716" s="1" t="s">
        <v>1803</v>
      </c>
      <c r="B1716" s="1" t="s">
        <v>18</v>
      </c>
      <c r="C1716" s="1" t="s">
        <v>27</v>
      </c>
      <c r="D1716" s="1" t="s">
        <v>28</v>
      </c>
      <c r="E1716" s="1" t="s">
        <v>21</v>
      </c>
      <c r="F1716" s="1"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row>
    <row r="1717" spans="1:17" ht="12.5" x14ac:dyDescent="0.25">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ht="12.5" x14ac:dyDescent="0.25">
      <c r="A1718" s="1" t="s">
        <v>1805</v>
      </c>
      <c r="B1718" s="1" t="s">
        <v>18</v>
      </c>
      <c r="C1718" s="1" t="s">
        <v>19</v>
      </c>
      <c r="D1718" s="1" t="s">
        <v>28</v>
      </c>
      <c r="E1718" s="1" t="s">
        <v>29</v>
      </c>
      <c r="F1718" s="1"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row>
    <row r="1719" spans="1:17" ht="12.5" x14ac:dyDescent="0.25">
      <c r="A1719" s="1" t="s">
        <v>1806</v>
      </c>
      <c r="B1719" s="1" t="s">
        <v>18</v>
      </c>
      <c r="C1719" s="1" t="s">
        <v>19</v>
      </c>
      <c r="D1719" s="1" t="s">
        <v>28</v>
      </c>
      <c r="E1719" s="1" t="s">
        <v>21</v>
      </c>
      <c r="F1719" s="1"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row>
    <row r="1720" spans="1:17" ht="12.5" x14ac:dyDescent="0.25">
      <c r="A1720" s="1" t="s">
        <v>1807</v>
      </c>
      <c r="B1720" s="1" t="s">
        <v>33</v>
      </c>
      <c r="C1720" s="1" t="s">
        <v>27</v>
      </c>
      <c r="D1720" s="1" t="s">
        <v>20</v>
      </c>
      <c r="E1720" s="1" t="s">
        <v>21</v>
      </c>
      <c r="F1720" s="1"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row>
    <row r="1721" spans="1:17" ht="12.5" x14ac:dyDescent="0.25">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ht="12.5" x14ac:dyDescent="0.25">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ht="12.5" x14ac:dyDescent="0.25">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ht="12.5" x14ac:dyDescent="0.25">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ht="12.5" x14ac:dyDescent="0.25">
      <c r="A1725" s="1" t="s">
        <v>1812</v>
      </c>
      <c r="B1725" s="1" t="s">
        <v>18</v>
      </c>
      <c r="C1725" s="1" t="s">
        <v>25</v>
      </c>
      <c r="D1725" s="1" t="s">
        <v>28</v>
      </c>
      <c r="E1725" s="1" t="s">
        <v>29</v>
      </c>
      <c r="F1725" s="1"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row>
    <row r="1726" spans="1:17" ht="12.5" x14ac:dyDescent="0.25">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ht="12.5" x14ac:dyDescent="0.25">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ht="12.5" x14ac:dyDescent="0.25">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ht="12.5" x14ac:dyDescent="0.25">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ht="12.5" x14ac:dyDescent="0.25">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ht="12.5" x14ac:dyDescent="0.25">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ht="12.5" x14ac:dyDescent="0.25">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ht="12.5" x14ac:dyDescent="0.25">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ht="12.5" x14ac:dyDescent="0.25">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ht="12.5" x14ac:dyDescent="0.25">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ht="12.5" x14ac:dyDescent="0.25">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ht="12.5" x14ac:dyDescent="0.25">
      <c r="A1737" s="1" t="s">
        <v>1824</v>
      </c>
      <c r="B1737" s="1" t="s">
        <v>18</v>
      </c>
      <c r="C1737" s="1" t="s">
        <v>25</v>
      </c>
      <c r="D1737" s="1" t="s">
        <v>20</v>
      </c>
      <c r="E1737" s="1" t="s">
        <v>21</v>
      </c>
      <c r="F1737" s="1"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row>
    <row r="1738" spans="1:17" ht="12.5" x14ac:dyDescent="0.25">
      <c r="A1738" s="1" t="s">
        <v>1825</v>
      </c>
      <c r="B1738" s="1" t="s">
        <v>54</v>
      </c>
      <c r="C1738" s="1" t="s">
        <v>25</v>
      </c>
      <c r="D1738" s="1" t="s">
        <v>20</v>
      </c>
      <c r="E1738" s="1" t="s">
        <v>21</v>
      </c>
      <c r="F1738" s="1"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row>
    <row r="1739" spans="1:17" ht="12.5" x14ac:dyDescent="0.25">
      <c r="A1739" s="1" t="s">
        <v>1826</v>
      </c>
      <c r="B1739" s="1" t="s">
        <v>18</v>
      </c>
      <c r="C1739" s="1" t="s">
        <v>25</v>
      </c>
      <c r="D1739" s="1" t="s">
        <v>20</v>
      </c>
      <c r="E1739" s="1" t="s">
        <v>21</v>
      </c>
      <c r="F1739" s="1"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row>
    <row r="1740" spans="1:17" ht="12.5" x14ac:dyDescent="0.25">
      <c r="A1740" s="1" t="s">
        <v>1827</v>
      </c>
      <c r="B1740" s="1" t="s">
        <v>54</v>
      </c>
      <c r="C1740" s="1" t="s">
        <v>25</v>
      </c>
      <c r="D1740" s="1" t="s">
        <v>20</v>
      </c>
      <c r="E1740" s="1" t="s">
        <v>21</v>
      </c>
      <c r="F1740" s="1"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row>
    <row r="1741" spans="1:17" ht="12.5" x14ac:dyDescent="0.25">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ht="12.5" x14ac:dyDescent="0.25">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ht="12.5" x14ac:dyDescent="0.25">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ht="12.5" x14ac:dyDescent="0.25">
      <c r="A1744" s="1" t="s">
        <v>1831</v>
      </c>
      <c r="B1744" s="1" t="s">
        <v>33</v>
      </c>
      <c r="C1744" s="1" t="s">
        <v>25</v>
      </c>
      <c r="D1744" s="1" t="s">
        <v>28</v>
      </c>
      <c r="E1744" s="1" t="s">
        <v>29</v>
      </c>
      <c r="F1744" s="1"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row>
    <row r="1745" spans="1:17" ht="12.5" x14ac:dyDescent="0.25">
      <c r="A1745" s="1" t="s">
        <v>1832</v>
      </c>
      <c r="B1745" s="1" t="s">
        <v>18</v>
      </c>
      <c r="C1745" s="1" t="s">
        <v>25</v>
      </c>
      <c r="D1745" s="1" t="s">
        <v>28</v>
      </c>
      <c r="E1745" s="1" t="s">
        <v>21</v>
      </c>
      <c r="F1745" s="1"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row>
    <row r="1746" spans="1:17" ht="12.5" x14ac:dyDescent="0.25">
      <c r="A1746" s="1" t="s">
        <v>1833</v>
      </c>
      <c r="B1746" s="1" t="s">
        <v>54</v>
      </c>
      <c r="C1746" s="1" t="s">
        <v>25</v>
      </c>
      <c r="D1746" s="1" t="s">
        <v>20</v>
      </c>
      <c r="E1746" s="1" t="s">
        <v>21</v>
      </c>
      <c r="F1746" s="1" t="s">
        <v>55</v>
      </c>
      <c r="G1746" s="1">
        <v>64.36</v>
      </c>
      <c r="H1746" s="1">
        <v>9</v>
      </c>
      <c r="I1746" s="1">
        <v>28.962</v>
      </c>
      <c r="J1746" s="1">
        <v>608.202</v>
      </c>
      <c r="K1746" s="4">
        <v>43802</v>
      </c>
      <c r="L1746" s="3">
        <v>0.50624999999999998</v>
      </c>
      <c r="M1746" s="1" t="s">
        <v>48</v>
      </c>
      <c r="N1746" s="1">
        <v>579.24</v>
      </c>
      <c r="O1746" s="1">
        <v>4.7619047620000003</v>
      </c>
      <c r="P1746" s="1">
        <v>28.962</v>
      </c>
      <c r="Q1746" s="1">
        <v>8.6</v>
      </c>
    </row>
    <row r="1747" spans="1:17" ht="12.5" x14ac:dyDescent="0.25">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ht="12.5" x14ac:dyDescent="0.25">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ht="12.5" x14ac:dyDescent="0.25">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ht="12.5" x14ac:dyDescent="0.25">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ht="12.5" x14ac:dyDescent="0.25">
      <c r="A1751" s="1" t="s">
        <v>1838</v>
      </c>
      <c r="B1751" s="1" t="s">
        <v>18</v>
      </c>
      <c r="C1751" s="1" t="s">
        <v>19</v>
      </c>
      <c r="D1751" s="1" t="s">
        <v>28</v>
      </c>
      <c r="E1751" s="1" t="s">
        <v>21</v>
      </c>
      <c r="F1751" s="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row>
    <row r="1752" spans="1:17" ht="12.5" x14ac:dyDescent="0.25">
      <c r="A1752" s="1" t="s">
        <v>1839</v>
      </c>
      <c r="B1752" s="1" t="s">
        <v>18</v>
      </c>
      <c r="C1752" s="1" t="s">
        <v>25</v>
      </c>
      <c r="D1752" s="1" t="s">
        <v>28</v>
      </c>
      <c r="E1752" s="1" t="s">
        <v>29</v>
      </c>
      <c r="F1752" s="1"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row>
    <row r="1753" spans="1:17" ht="12.5" x14ac:dyDescent="0.25">
      <c r="A1753" s="1" t="s">
        <v>1840</v>
      </c>
      <c r="B1753" s="1" t="s">
        <v>18</v>
      </c>
      <c r="C1753" s="1" t="s">
        <v>25</v>
      </c>
      <c r="D1753" s="1" t="s">
        <v>28</v>
      </c>
      <c r="E1753" s="1" t="s">
        <v>21</v>
      </c>
      <c r="F1753" s="1"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row>
    <row r="1754" spans="1:17" ht="12.5" x14ac:dyDescent="0.25">
      <c r="A1754" s="1" t="s">
        <v>1841</v>
      </c>
      <c r="B1754" s="1" t="s">
        <v>54</v>
      </c>
      <c r="C1754" s="1" t="s">
        <v>25</v>
      </c>
      <c r="D1754" s="1" t="s">
        <v>20</v>
      </c>
      <c r="E1754" s="1" t="s">
        <v>21</v>
      </c>
      <c r="F1754" s="1"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row>
    <row r="1755" spans="1:17" ht="12.5" x14ac:dyDescent="0.25">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ht="12.5" x14ac:dyDescent="0.25">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ht="12.5" x14ac:dyDescent="0.25">
      <c r="A1757" s="1" t="s">
        <v>1844</v>
      </c>
      <c r="B1757" s="1" t="s">
        <v>18</v>
      </c>
      <c r="C1757" s="1" t="s">
        <v>19</v>
      </c>
      <c r="D1757" s="1" t="s">
        <v>28</v>
      </c>
      <c r="E1757" s="1" t="s">
        <v>21</v>
      </c>
      <c r="F1757" s="1"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row>
    <row r="1758" spans="1:17" ht="12.5" x14ac:dyDescent="0.25">
      <c r="A1758" s="1" t="s">
        <v>1845</v>
      </c>
      <c r="B1758" s="1" t="s">
        <v>18</v>
      </c>
      <c r="C1758" s="1" t="s">
        <v>19</v>
      </c>
      <c r="D1758" s="1" t="s">
        <v>28</v>
      </c>
      <c r="E1758" s="1" t="s">
        <v>21</v>
      </c>
      <c r="F1758" s="1"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row>
    <row r="1759" spans="1:17" ht="12.5" x14ac:dyDescent="0.25">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ht="12.5" x14ac:dyDescent="0.25">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ht="12.5" x14ac:dyDescent="0.25">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ht="12.5" x14ac:dyDescent="0.25">
      <c r="A1762" s="1" t="s">
        <v>1849</v>
      </c>
      <c r="B1762" s="1" t="s">
        <v>18</v>
      </c>
      <c r="C1762" s="1" t="s">
        <v>27</v>
      </c>
      <c r="D1762" s="1" t="s">
        <v>28</v>
      </c>
      <c r="E1762" s="1" t="s">
        <v>29</v>
      </c>
      <c r="F1762" s="1"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row>
    <row r="1763" spans="1:17" ht="12.5" x14ac:dyDescent="0.25">
      <c r="A1763" s="1" t="s">
        <v>1850</v>
      </c>
      <c r="B1763" s="1" t="s">
        <v>18</v>
      </c>
      <c r="C1763" s="1" t="s">
        <v>19</v>
      </c>
      <c r="D1763" s="1" t="s">
        <v>28</v>
      </c>
      <c r="E1763" s="1" t="s">
        <v>29</v>
      </c>
      <c r="F1763" s="1"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row>
    <row r="1764" spans="1:17" ht="12.5" x14ac:dyDescent="0.25">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ht="12.5" x14ac:dyDescent="0.25">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ht="12.5" x14ac:dyDescent="0.25">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ht="12.5" x14ac:dyDescent="0.25">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ht="12.5" x14ac:dyDescent="0.25">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ht="12.5" x14ac:dyDescent="0.25">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ht="12.5" x14ac:dyDescent="0.25">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ht="12.5" x14ac:dyDescent="0.25">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ht="12.5" x14ac:dyDescent="0.25">
      <c r="A1772" s="1" t="s">
        <v>1859</v>
      </c>
      <c r="B1772" s="1" t="s">
        <v>33</v>
      </c>
      <c r="C1772" s="1" t="s">
        <v>25</v>
      </c>
      <c r="D1772" s="1" t="s">
        <v>28</v>
      </c>
      <c r="E1772" s="1" t="s">
        <v>21</v>
      </c>
      <c r="F1772" s="1"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row>
    <row r="1773" spans="1:17" ht="12.5" x14ac:dyDescent="0.25">
      <c r="A1773" s="1" t="s">
        <v>1860</v>
      </c>
      <c r="B1773" s="1" t="s">
        <v>33</v>
      </c>
      <c r="C1773" s="1" t="s">
        <v>19</v>
      </c>
      <c r="D1773" s="1" t="s">
        <v>28</v>
      </c>
      <c r="E1773" s="1" t="s">
        <v>21</v>
      </c>
      <c r="F1773" s="1"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row>
    <row r="1774" spans="1:17" ht="12.5" x14ac:dyDescent="0.25">
      <c r="A1774" s="1" t="s">
        <v>1861</v>
      </c>
      <c r="B1774" s="1" t="s">
        <v>18</v>
      </c>
      <c r="C1774" s="1" t="s">
        <v>25</v>
      </c>
      <c r="D1774" s="1" t="s">
        <v>20</v>
      </c>
      <c r="E1774" s="1" t="s">
        <v>21</v>
      </c>
      <c r="F1774" s="1" t="s">
        <v>55</v>
      </c>
      <c r="G1774" s="1">
        <v>85.6</v>
      </c>
      <c r="H1774" s="1">
        <v>7</v>
      </c>
      <c r="I1774" s="1">
        <v>29.96</v>
      </c>
      <c r="J1774" s="1">
        <v>629.16</v>
      </c>
      <c r="K1774" s="4">
        <v>43499</v>
      </c>
      <c r="L1774" s="3">
        <v>0.57638888888888884</v>
      </c>
      <c r="M1774" s="1" t="s">
        <v>23</v>
      </c>
      <c r="N1774" s="1">
        <v>599.20000000000005</v>
      </c>
      <c r="O1774" s="1">
        <v>4.7619047620000003</v>
      </c>
      <c r="P1774" s="1">
        <v>29.96</v>
      </c>
      <c r="Q1774" s="1">
        <v>5.3</v>
      </c>
    </row>
    <row r="1775" spans="1:17" ht="12.5" x14ac:dyDescent="0.25">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ht="12.5" x14ac:dyDescent="0.25">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ht="12.5" x14ac:dyDescent="0.25">
      <c r="A1777" s="1" t="s">
        <v>1864</v>
      </c>
      <c r="B1777" s="1" t="s">
        <v>18</v>
      </c>
      <c r="C1777" s="1" t="s">
        <v>19</v>
      </c>
      <c r="D1777" s="1" t="s">
        <v>20</v>
      </c>
      <c r="E1777" s="1" t="s">
        <v>21</v>
      </c>
      <c r="F1777" s="1"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row>
    <row r="1778" spans="1:17" ht="12.5" x14ac:dyDescent="0.25">
      <c r="A1778" s="1" t="s">
        <v>1865</v>
      </c>
      <c r="B1778" s="1" t="s">
        <v>18</v>
      </c>
      <c r="C1778" s="1" t="s">
        <v>19</v>
      </c>
      <c r="D1778" s="1" t="s">
        <v>20</v>
      </c>
      <c r="E1778" s="1" t="s">
        <v>21</v>
      </c>
      <c r="F1778" s="1"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row>
    <row r="1779" spans="1:17" ht="12.5" x14ac:dyDescent="0.25">
      <c r="A1779" s="1" t="s">
        <v>1866</v>
      </c>
      <c r="B1779" s="1" t="s">
        <v>18</v>
      </c>
      <c r="C1779" s="1" t="s">
        <v>19</v>
      </c>
      <c r="D1779" s="1" t="s">
        <v>20</v>
      </c>
      <c r="E1779" s="1" t="s">
        <v>21</v>
      </c>
      <c r="F1779" s="1"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row>
    <row r="1780" spans="1:17" ht="12.5" x14ac:dyDescent="0.25">
      <c r="A1780" s="1" t="s">
        <v>1867</v>
      </c>
      <c r="B1780" s="1" t="s">
        <v>18</v>
      </c>
      <c r="C1780" s="1" t="s">
        <v>19</v>
      </c>
      <c r="D1780" s="1" t="s">
        <v>20</v>
      </c>
      <c r="E1780" s="1" t="s">
        <v>21</v>
      </c>
      <c r="F1780" s="1"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row>
    <row r="1781" spans="1:17" ht="12.5" x14ac:dyDescent="0.25">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ht="12.5" x14ac:dyDescent="0.25">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ht="12.5" x14ac:dyDescent="0.25">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ht="12.5" x14ac:dyDescent="0.25">
      <c r="A1784" s="1" t="s">
        <v>1871</v>
      </c>
      <c r="B1784" s="1" t="s">
        <v>18</v>
      </c>
      <c r="C1784" s="1" t="s">
        <v>25</v>
      </c>
      <c r="D1784" s="1" t="s">
        <v>20</v>
      </c>
      <c r="E1784" s="1" t="s">
        <v>21</v>
      </c>
      <c r="F1784" s="1"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row>
    <row r="1785" spans="1:17" ht="12.5" x14ac:dyDescent="0.25">
      <c r="A1785" s="1" t="s">
        <v>1872</v>
      </c>
      <c r="B1785" s="1" t="s">
        <v>33</v>
      </c>
      <c r="C1785" s="1" t="s">
        <v>25</v>
      </c>
      <c r="D1785" s="1" t="s">
        <v>20</v>
      </c>
      <c r="E1785" s="1" t="s">
        <v>21</v>
      </c>
      <c r="F1785" s="1"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row>
    <row r="1786" spans="1:17" ht="12.5" x14ac:dyDescent="0.25">
      <c r="A1786" s="1" t="s">
        <v>1873</v>
      </c>
      <c r="B1786" s="1" t="s">
        <v>33</v>
      </c>
      <c r="C1786" s="1" t="s">
        <v>27</v>
      </c>
      <c r="D1786" s="1" t="s">
        <v>28</v>
      </c>
      <c r="E1786" s="1" t="s">
        <v>21</v>
      </c>
      <c r="F1786" s="1"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row>
    <row r="1787" spans="1:17" ht="12.5" x14ac:dyDescent="0.25">
      <c r="A1787" s="1" t="s">
        <v>1874</v>
      </c>
      <c r="B1787" s="1" t="s">
        <v>18</v>
      </c>
      <c r="C1787" s="1" t="s">
        <v>27</v>
      </c>
      <c r="D1787" s="1" t="s">
        <v>28</v>
      </c>
      <c r="E1787" s="1" t="s">
        <v>21</v>
      </c>
      <c r="F1787" s="1"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row>
    <row r="1788" spans="1:17" ht="12.5" x14ac:dyDescent="0.25">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ht="12.5" x14ac:dyDescent="0.25">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ht="12.5" x14ac:dyDescent="0.25">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ht="12.5" x14ac:dyDescent="0.25">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ht="12.5" x14ac:dyDescent="0.25">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ht="12.5" x14ac:dyDescent="0.25">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ht="12.5" x14ac:dyDescent="0.25">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ht="12.5" x14ac:dyDescent="0.25">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ht="12.5" x14ac:dyDescent="0.25">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ht="12.5" x14ac:dyDescent="0.25">
      <c r="A1797" s="1" t="s">
        <v>1884</v>
      </c>
      <c r="B1797" s="1" t="s">
        <v>18</v>
      </c>
      <c r="C1797" s="1" t="s">
        <v>19</v>
      </c>
      <c r="D1797" s="1" t="s">
        <v>28</v>
      </c>
      <c r="E1797" s="1" t="s">
        <v>21</v>
      </c>
      <c r="F1797" s="1"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row>
    <row r="1798" spans="1:17" ht="12.5" x14ac:dyDescent="0.25">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ht="12.5" x14ac:dyDescent="0.25">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ht="12.5" x14ac:dyDescent="0.25">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ht="12.5" x14ac:dyDescent="0.25">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ht="12.5" x14ac:dyDescent="0.25">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ht="12.5" x14ac:dyDescent="0.25">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ht="12.5" x14ac:dyDescent="0.25">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ht="12.5" x14ac:dyDescent="0.25">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ht="12.5" x14ac:dyDescent="0.25">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ht="12.5" x14ac:dyDescent="0.25">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ht="12.5" x14ac:dyDescent="0.25">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ht="12.5" x14ac:dyDescent="0.25">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ht="12.5" x14ac:dyDescent="0.25">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ht="12.5" x14ac:dyDescent="0.25">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ht="12.5" x14ac:dyDescent="0.25">
      <c r="A1812" s="1" t="s">
        <v>1899</v>
      </c>
      <c r="B1812" s="1" t="s">
        <v>18</v>
      </c>
      <c r="C1812" s="1" t="s">
        <v>19</v>
      </c>
      <c r="D1812" s="1" t="s">
        <v>20</v>
      </c>
      <c r="E1812" s="1" t="s">
        <v>21</v>
      </c>
      <c r="F1812" s="1" t="s">
        <v>39</v>
      </c>
      <c r="G1812" s="1">
        <v>91.4</v>
      </c>
      <c r="H1812" s="1">
        <v>7</v>
      </c>
      <c r="I1812" s="1">
        <v>31.99</v>
      </c>
      <c r="J1812" s="1">
        <v>671.79</v>
      </c>
      <c r="K1812" s="4">
        <v>43526</v>
      </c>
      <c r="L1812" s="3">
        <v>0.42986111111111114</v>
      </c>
      <c r="M1812" s="1" t="s">
        <v>23</v>
      </c>
      <c r="N1812" s="1">
        <v>639.79999999999995</v>
      </c>
      <c r="O1812" s="1">
        <v>4.7619047620000003</v>
      </c>
      <c r="P1812" s="1">
        <v>31.99</v>
      </c>
      <c r="Q1812" s="1">
        <v>9.5</v>
      </c>
    </row>
    <row r="1813" spans="1:17" ht="12.5" x14ac:dyDescent="0.25">
      <c r="A1813" s="1" t="s">
        <v>1900</v>
      </c>
      <c r="B1813" s="1" t="s">
        <v>18</v>
      </c>
      <c r="C1813" s="1" t="s">
        <v>19</v>
      </c>
      <c r="D1813" s="1" t="s">
        <v>20</v>
      </c>
      <c r="E1813" s="1" t="s">
        <v>21</v>
      </c>
      <c r="F1813" s="1" t="s">
        <v>39</v>
      </c>
      <c r="G1813" s="1">
        <v>91.4</v>
      </c>
      <c r="H1813" s="1">
        <v>7</v>
      </c>
      <c r="I1813" s="1">
        <v>31.99</v>
      </c>
      <c r="J1813" s="1">
        <v>671.79</v>
      </c>
      <c r="K1813" s="4">
        <v>43526</v>
      </c>
      <c r="L1813" s="3">
        <v>0.42986111111111114</v>
      </c>
      <c r="M1813" s="1" t="s">
        <v>23</v>
      </c>
      <c r="N1813" s="1">
        <v>639.79999999999995</v>
      </c>
      <c r="O1813" s="1">
        <v>4.7619047620000003</v>
      </c>
      <c r="P1813" s="1">
        <v>31.99</v>
      </c>
      <c r="Q1813" s="1">
        <v>9.5</v>
      </c>
    </row>
    <row r="1814" spans="1:17" ht="12.5" x14ac:dyDescent="0.25">
      <c r="A1814" s="1" t="s">
        <v>1901</v>
      </c>
      <c r="B1814" s="1" t="s">
        <v>18</v>
      </c>
      <c r="C1814" s="1" t="s">
        <v>19</v>
      </c>
      <c r="D1814" s="1" t="s">
        <v>20</v>
      </c>
      <c r="E1814" s="1" t="s">
        <v>21</v>
      </c>
      <c r="F1814" s="1" t="s">
        <v>39</v>
      </c>
      <c r="G1814" s="1">
        <v>91.4</v>
      </c>
      <c r="H1814" s="1">
        <v>7</v>
      </c>
      <c r="I1814" s="1">
        <v>31.99</v>
      </c>
      <c r="J1814" s="1">
        <v>671.79</v>
      </c>
      <c r="K1814" s="4">
        <v>43526</v>
      </c>
      <c r="L1814" s="3">
        <v>0.42986111111111114</v>
      </c>
      <c r="M1814" s="1" t="s">
        <v>23</v>
      </c>
      <c r="N1814" s="1">
        <v>639.79999999999995</v>
      </c>
      <c r="O1814" s="1">
        <v>4.7619047620000003</v>
      </c>
      <c r="P1814" s="1">
        <v>31.99</v>
      </c>
      <c r="Q1814" s="1">
        <v>9.5</v>
      </c>
    </row>
    <row r="1815" spans="1:17" ht="12.5" x14ac:dyDescent="0.25">
      <c r="A1815" s="1" t="s">
        <v>1902</v>
      </c>
      <c r="B1815" s="1" t="s">
        <v>18</v>
      </c>
      <c r="C1815" s="1" t="s">
        <v>19</v>
      </c>
      <c r="D1815" s="1" t="s">
        <v>20</v>
      </c>
      <c r="E1815" s="1" t="s">
        <v>21</v>
      </c>
      <c r="F1815" s="1" t="s">
        <v>39</v>
      </c>
      <c r="G1815" s="1">
        <v>91.4</v>
      </c>
      <c r="H1815" s="1">
        <v>7</v>
      </c>
      <c r="I1815" s="1">
        <v>31.99</v>
      </c>
      <c r="J1815" s="1">
        <v>671.79</v>
      </c>
      <c r="K1815" s="4">
        <v>43526</v>
      </c>
      <c r="L1815" s="3">
        <v>0.42986111111111114</v>
      </c>
      <c r="M1815" s="1" t="s">
        <v>23</v>
      </c>
      <c r="N1815" s="1">
        <v>639.79999999999995</v>
      </c>
      <c r="O1815" s="1">
        <v>4.7619047620000003</v>
      </c>
      <c r="P1815" s="1">
        <v>31.99</v>
      </c>
      <c r="Q1815" s="1">
        <v>9.5</v>
      </c>
    </row>
    <row r="1816" spans="1:17" ht="12.5" x14ac:dyDescent="0.25">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ht="12.5" x14ac:dyDescent="0.25">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ht="12.5" x14ac:dyDescent="0.25">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ht="12.5" x14ac:dyDescent="0.25">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ht="12.5" x14ac:dyDescent="0.25">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ht="12.5" x14ac:dyDescent="0.25">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ht="12.5" x14ac:dyDescent="0.25">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ht="12.5" x14ac:dyDescent="0.25">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ht="12.5" x14ac:dyDescent="0.25">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ht="12.5" x14ac:dyDescent="0.25">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ht="12.5" x14ac:dyDescent="0.25">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ht="12.5" x14ac:dyDescent="0.25">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ht="12.5" x14ac:dyDescent="0.25">
      <c r="A1828" s="1" t="s">
        <v>1915</v>
      </c>
      <c r="B1828" s="1" t="s">
        <v>54</v>
      </c>
      <c r="C1828" s="1" t="s">
        <v>25</v>
      </c>
      <c r="D1828" s="1" t="s">
        <v>28</v>
      </c>
      <c r="E1828" s="1" t="s">
        <v>21</v>
      </c>
      <c r="F1828" s="1"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row>
    <row r="1829" spans="1:17" ht="12.5" x14ac:dyDescent="0.25">
      <c r="A1829" s="1" t="s">
        <v>1916</v>
      </c>
      <c r="B1829" s="1" t="s">
        <v>54</v>
      </c>
      <c r="C1829" s="1" t="s">
        <v>25</v>
      </c>
      <c r="D1829" s="1" t="s">
        <v>20</v>
      </c>
      <c r="E1829" s="1" t="s">
        <v>21</v>
      </c>
      <c r="F1829" s="1"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row>
    <row r="1830" spans="1:17" ht="12.5" x14ac:dyDescent="0.25">
      <c r="A1830" s="1" t="s">
        <v>1917</v>
      </c>
      <c r="B1830" s="1" t="s">
        <v>18</v>
      </c>
      <c r="C1830" s="1" t="s">
        <v>25</v>
      </c>
      <c r="D1830" s="1" t="s">
        <v>28</v>
      </c>
      <c r="E1830" s="1" t="s">
        <v>21</v>
      </c>
      <c r="F1830" s="1"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row>
    <row r="1831" spans="1:17" ht="12.5" x14ac:dyDescent="0.25">
      <c r="A1831" s="1" t="s">
        <v>1918</v>
      </c>
      <c r="B1831" s="1" t="s">
        <v>33</v>
      </c>
      <c r="C1831" s="1" t="s">
        <v>27</v>
      </c>
      <c r="D1831" s="1" t="s">
        <v>28</v>
      </c>
      <c r="E1831" s="1" t="s">
        <v>21</v>
      </c>
      <c r="F1831" s="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row>
    <row r="1832" spans="1:17" ht="12.5" x14ac:dyDescent="0.25">
      <c r="A1832" s="1" t="s">
        <v>1919</v>
      </c>
      <c r="B1832" s="1" t="s">
        <v>33</v>
      </c>
      <c r="C1832" s="1" t="s">
        <v>19</v>
      </c>
      <c r="D1832" s="1" t="s">
        <v>28</v>
      </c>
      <c r="E1832" s="1" t="s">
        <v>21</v>
      </c>
      <c r="F1832" s="1"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row>
    <row r="1833" spans="1:17" ht="12.5" x14ac:dyDescent="0.25">
      <c r="A1833" s="1" t="s">
        <v>1920</v>
      </c>
      <c r="B1833" s="1" t="s">
        <v>18</v>
      </c>
      <c r="C1833" s="1" t="s">
        <v>19</v>
      </c>
      <c r="D1833" s="1" t="s">
        <v>20</v>
      </c>
      <c r="E1833" s="1" t="s">
        <v>21</v>
      </c>
      <c r="F1833" s="1"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row>
    <row r="1834" spans="1:17" ht="12.5" x14ac:dyDescent="0.25">
      <c r="A1834" s="1" t="s">
        <v>1921</v>
      </c>
      <c r="B1834" s="1" t="s">
        <v>18</v>
      </c>
      <c r="C1834" s="1" t="s">
        <v>25</v>
      </c>
      <c r="D1834" s="1" t="s">
        <v>20</v>
      </c>
      <c r="E1834" s="1" t="s">
        <v>29</v>
      </c>
      <c r="F1834" s="1"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row>
    <row r="1835" spans="1:17" ht="12.5" x14ac:dyDescent="0.25">
      <c r="A1835" s="1" t="s">
        <v>1922</v>
      </c>
      <c r="B1835" s="1" t="s">
        <v>33</v>
      </c>
      <c r="C1835" s="1" t="s">
        <v>27</v>
      </c>
      <c r="D1835" s="1" t="s">
        <v>28</v>
      </c>
      <c r="E1835" s="1" t="s">
        <v>29</v>
      </c>
      <c r="F1835" s="1"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row>
    <row r="1836" spans="1:17" ht="12.5" x14ac:dyDescent="0.25">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ht="12.5" x14ac:dyDescent="0.25">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ht="12.5" x14ac:dyDescent="0.25">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ht="12.5" x14ac:dyDescent="0.25">
      <c r="A1839" s="1" t="s">
        <v>1926</v>
      </c>
      <c r="B1839" s="1" t="s">
        <v>33</v>
      </c>
      <c r="C1839" s="1" t="s">
        <v>25</v>
      </c>
      <c r="D1839" s="1" t="s">
        <v>28</v>
      </c>
      <c r="E1839" s="1" t="s">
        <v>29</v>
      </c>
      <c r="F1839" s="1"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row>
    <row r="1840" spans="1:17" ht="12.5" x14ac:dyDescent="0.25">
      <c r="A1840" s="1" t="s">
        <v>1927</v>
      </c>
      <c r="B1840" s="1" t="s">
        <v>18</v>
      </c>
      <c r="C1840" s="1" t="s">
        <v>25</v>
      </c>
      <c r="D1840" s="1" t="s">
        <v>28</v>
      </c>
      <c r="E1840" s="1" t="s">
        <v>21</v>
      </c>
      <c r="F1840" s="1"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row>
    <row r="1841" spans="1:17" ht="12.5" x14ac:dyDescent="0.25">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ht="12.5" x14ac:dyDescent="0.25">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ht="12.5" x14ac:dyDescent="0.25">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ht="12.5" x14ac:dyDescent="0.25">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ht="12.5" x14ac:dyDescent="0.25">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ht="12.5" x14ac:dyDescent="0.25">
      <c r="A1846" s="1" t="s">
        <v>1933</v>
      </c>
      <c r="B1846" s="1" t="s">
        <v>18</v>
      </c>
      <c r="C1846" s="1" t="s">
        <v>25</v>
      </c>
      <c r="D1846" s="1" t="s">
        <v>28</v>
      </c>
      <c r="E1846" s="1" t="s">
        <v>21</v>
      </c>
      <c r="F1846" s="1"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row>
    <row r="1847" spans="1:17" ht="12.5" x14ac:dyDescent="0.25">
      <c r="A1847" s="1" t="s">
        <v>1934</v>
      </c>
      <c r="B1847" s="1" t="s">
        <v>18</v>
      </c>
      <c r="C1847" s="1" t="s">
        <v>25</v>
      </c>
      <c r="D1847" s="1" t="s">
        <v>28</v>
      </c>
      <c r="E1847" s="1" t="s">
        <v>21</v>
      </c>
      <c r="F1847" s="1"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row>
    <row r="1848" spans="1:17" ht="12.5" x14ac:dyDescent="0.25">
      <c r="A1848" s="1" t="s">
        <v>1935</v>
      </c>
      <c r="B1848" s="1" t="s">
        <v>54</v>
      </c>
      <c r="C1848" s="1" t="s">
        <v>25</v>
      </c>
      <c r="D1848" s="1" t="s">
        <v>28</v>
      </c>
      <c r="E1848" s="1" t="s">
        <v>21</v>
      </c>
      <c r="F1848" s="1"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row>
    <row r="1849" spans="1:17" ht="12.5" x14ac:dyDescent="0.25">
      <c r="A1849" s="1" t="s">
        <v>1936</v>
      </c>
      <c r="B1849" s="1" t="s">
        <v>54</v>
      </c>
      <c r="C1849" s="1" t="s">
        <v>19</v>
      </c>
      <c r="D1849" s="1" t="s">
        <v>28</v>
      </c>
      <c r="E1849" s="1" t="s">
        <v>21</v>
      </c>
      <c r="F1849" s="1"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row>
    <row r="1850" spans="1:17" ht="12.5" x14ac:dyDescent="0.25">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ht="12.5" x14ac:dyDescent="0.25">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ht="12.5" x14ac:dyDescent="0.25">
      <c r="A1852" s="1" t="s">
        <v>1939</v>
      </c>
      <c r="B1852" s="1" t="s">
        <v>18</v>
      </c>
      <c r="C1852" s="1" t="s">
        <v>27</v>
      </c>
      <c r="D1852" s="1" t="s">
        <v>20</v>
      </c>
      <c r="E1852" s="1" t="s">
        <v>21</v>
      </c>
      <c r="F1852" s="1"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row>
    <row r="1853" spans="1:17" ht="12.5" x14ac:dyDescent="0.25">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ht="12.5" x14ac:dyDescent="0.25">
      <c r="A1854" s="1" t="s">
        <v>1941</v>
      </c>
      <c r="B1854" s="1" t="s">
        <v>18</v>
      </c>
      <c r="C1854" s="1" t="s">
        <v>27</v>
      </c>
      <c r="D1854" s="1" t="s">
        <v>28</v>
      </c>
      <c r="E1854" s="1" t="s">
        <v>21</v>
      </c>
      <c r="F1854" s="1"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row>
    <row r="1855" spans="1:17" ht="12.5" x14ac:dyDescent="0.25">
      <c r="A1855" s="1" t="s">
        <v>1942</v>
      </c>
      <c r="B1855" s="1" t="s">
        <v>18</v>
      </c>
      <c r="C1855" s="1" t="s">
        <v>25</v>
      </c>
      <c r="D1855" s="1" t="s">
        <v>28</v>
      </c>
      <c r="E1855" s="1" t="s">
        <v>21</v>
      </c>
      <c r="F1855" s="1"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row>
    <row r="1856" spans="1:17" ht="12.5" x14ac:dyDescent="0.25">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ht="12.5" x14ac:dyDescent="0.25">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ht="12.5" x14ac:dyDescent="0.25">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ht="12.5" x14ac:dyDescent="0.25">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ht="12.5" x14ac:dyDescent="0.25">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ht="12.5" x14ac:dyDescent="0.25">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ht="12.5" x14ac:dyDescent="0.25">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ht="12.5" x14ac:dyDescent="0.25">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ht="12.5" x14ac:dyDescent="0.25">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ht="12.5" x14ac:dyDescent="0.25">
      <c r="A1865" s="1" t="s">
        <v>1952</v>
      </c>
      <c r="B1865" s="1" t="s">
        <v>18</v>
      </c>
      <c r="C1865" s="1" t="s">
        <v>19</v>
      </c>
      <c r="D1865" s="1" t="s">
        <v>20</v>
      </c>
      <c r="E1865" s="1" t="s">
        <v>21</v>
      </c>
      <c r="F1865" s="1"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row>
    <row r="1866" spans="1:17" ht="12.5" x14ac:dyDescent="0.25">
      <c r="A1866" s="1" t="s">
        <v>1953</v>
      </c>
      <c r="B1866" s="1" t="s">
        <v>18</v>
      </c>
      <c r="C1866" s="1" t="s">
        <v>19</v>
      </c>
      <c r="D1866" s="1" t="s">
        <v>20</v>
      </c>
      <c r="E1866" s="1" t="s">
        <v>21</v>
      </c>
      <c r="F1866" s="1"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row>
    <row r="1867" spans="1:17" ht="12.5" x14ac:dyDescent="0.25">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ht="12.5" x14ac:dyDescent="0.25">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ht="12.5" x14ac:dyDescent="0.25">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ht="12.5" x14ac:dyDescent="0.25">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ht="12.5" x14ac:dyDescent="0.25">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ht="12.5" x14ac:dyDescent="0.25">
      <c r="A1872" s="1" t="s">
        <v>1959</v>
      </c>
      <c r="B1872" s="1" t="s">
        <v>33</v>
      </c>
      <c r="C1872" s="1" t="s">
        <v>25</v>
      </c>
      <c r="D1872" s="1" t="s">
        <v>20</v>
      </c>
      <c r="E1872" s="1" t="s">
        <v>21</v>
      </c>
      <c r="F1872" s="1"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row>
    <row r="1873" spans="1:17" ht="12.5" x14ac:dyDescent="0.25">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ht="12.5" x14ac:dyDescent="0.25">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ht="12.5" x14ac:dyDescent="0.25">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ht="12.5" x14ac:dyDescent="0.25">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ht="12.5" x14ac:dyDescent="0.25">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ht="12.5" x14ac:dyDescent="0.25">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ht="12.5" x14ac:dyDescent="0.25">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ht="12.5" x14ac:dyDescent="0.25">
      <c r="A1880" s="1" t="s">
        <v>1967</v>
      </c>
      <c r="B1880" s="1" t="s">
        <v>54</v>
      </c>
      <c r="C1880" s="1" t="s">
        <v>25</v>
      </c>
      <c r="D1880" s="1" t="s">
        <v>28</v>
      </c>
      <c r="E1880" s="1" t="s">
        <v>21</v>
      </c>
      <c r="F1880" s="1"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row>
    <row r="1881" spans="1:17" ht="12.5" x14ac:dyDescent="0.25">
      <c r="A1881" s="1" t="s">
        <v>1968</v>
      </c>
      <c r="B1881" s="1" t="s">
        <v>54</v>
      </c>
      <c r="C1881" s="1" t="s">
        <v>25</v>
      </c>
      <c r="D1881" s="1" t="s">
        <v>28</v>
      </c>
      <c r="E1881" s="1" t="s">
        <v>21</v>
      </c>
      <c r="F1881" s="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row>
    <row r="1882" spans="1:17" ht="12.5" x14ac:dyDescent="0.25">
      <c r="A1882" s="1" t="s">
        <v>1969</v>
      </c>
      <c r="B1882" s="1" t="s">
        <v>33</v>
      </c>
      <c r="C1882" s="1" t="s">
        <v>25</v>
      </c>
      <c r="D1882" s="1" t="s">
        <v>28</v>
      </c>
      <c r="E1882" s="1" t="s">
        <v>21</v>
      </c>
      <c r="F1882" s="1"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row>
    <row r="1883" spans="1:17" ht="12.5" x14ac:dyDescent="0.25">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ht="12.5" x14ac:dyDescent="0.25">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ht="12.5" x14ac:dyDescent="0.25">
      <c r="A1885" s="1" t="s">
        <v>1972</v>
      </c>
      <c r="B1885" s="1" t="s">
        <v>18</v>
      </c>
      <c r="C1885" s="1" t="s">
        <v>25</v>
      </c>
      <c r="D1885" s="1" t="s">
        <v>20</v>
      </c>
      <c r="E1885" s="1" t="s">
        <v>29</v>
      </c>
      <c r="F1885" s="1"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row>
    <row r="1886" spans="1:17" ht="12.5" x14ac:dyDescent="0.25">
      <c r="A1886" s="1" t="s">
        <v>1973</v>
      </c>
      <c r="B1886" s="1" t="s">
        <v>18</v>
      </c>
      <c r="C1886" s="1" t="s">
        <v>19</v>
      </c>
      <c r="D1886" s="1" t="s">
        <v>20</v>
      </c>
      <c r="E1886" s="1" t="s">
        <v>29</v>
      </c>
      <c r="F1886" s="1"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row>
    <row r="1887" spans="1:17" ht="12.5" x14ac:dyDescent="0.25">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ht="12.5" x14ac:dyDescent="0.25">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ht="12.5" x14ac:dyDescent="0.25">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ht="12.5" x14ac:dyDescent="0.25">
      <c r="A1890" s="1" t="s">
        <v>1977</v>
      </c>
      <c r="B1890" s="1" t="s">
        <v>18</v>
      </c>
      <c r="C1890" s="1" t="s">
        <v>19</v>
      </c>
      <c r="D1890" s="1" t="s">
        <v>28</v>
      </c>
      <c r="E1890" s="1" t="s">
        <v>21</v>
      </c>
      <c r="F1890" s="1"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row>
    <row r="1891" spans="1:17" ht="12.5" x14ac:dyDescent="0.25">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ht="12.5" x14ac:dyDescent="0.25">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ht="12.5" x14ac:dyDescent="0.25">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ht="12.5" x14ac:dyDescent="0.25">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ht="12.5" x14ac:dyDescent="0.25">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ht="12.5" x14ac:dyDescent="0.25">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ht="12.5" x14ac:dyDescent="0.25">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ht="12.5" x14ac:dyDescent="0.25">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ht="12.5" x14ac:dyDescent="0.25">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ht="12.5" x14ac:dyDescent="0.25">
      <c r="A1900" s="1" t="s">
        <v>1987</v>
      </c>
      <c r="B1900" s="1" t="s">
        <v>33</v>
      </c>
      <c r="C1900" s="1" t="s">
        <v>27</v>
      </c>
      <c r="D1900" s="1" t="s">
        <v>28</v>
      </c>
      <c r="E1900" s="1" t="s">
        <v>21</v>
      </c>
      <c r="F1900" s="1"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row>
    <row r="1901" spans="1:17" ht="12.5" x14ac:dyDescent="0.25">
      <c r="A1901" s="1" t="s">
        <v>1988</v>
      </c>
      <c r="B1901" s="1" t="s">
        <v>33</v>
      </c>
      <c r="C1901" s="1" t="s">
        <v>19</v>
      </c>
      <c r="D1901" s="1" t="s">
        <v>28</v>
      </c>
      <c r="E1901" s="1" t="s">
        <v>21</v>
      </c>
      <c r="F1901" s="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row>
    <row r="1902" spans="1:17" ht="12.5" x14ac:dyDescent="0.25">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ht="12.5" x14ac:dyDescent="0.25">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ht="12.5" x14ac:dyDescent="0.25">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ht="12.5" x14ac:dyDescent="0.25">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ht="12.5" x14ac:dyDescent="0.25">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ht="12.5" x14ac:dyDescent="0.25">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ht="12.5" x14ac:dyDescent="0.25">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ht="12.5" x14ac:dyDescent="0.25">
      <c r="A1909" s="1" t="s">
        <v>1996</v>
      </c>
      <c r="B1909" s="1" t="s">
        <v>18</v>
      </c>
      <c r="C1909" s="1" t="s">
        <v>25</v>
      </c>
      <c r="D1909" s="1" t="s">
        <v>20</v>
      </c>
      <c r="E1909" s="1" t="s">
        <v>21</v>
      </c>
      <c r="F1909" s="1"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row>
    <row r="1910" spans="1:17" ht="12.5" x14ac:dyDescent="0.25">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ht="12.5" x14ac:dyDescent="0.25">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ht="12.5" x14ac:dyDescent="0.25">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ht="12.5" x14ac:dyDescent="0.25">
      <c r="A1913" s="1" t="s">
        <v>2000</v>
      </c>
      <c r="B1913" s="1" t="s">
        <v>18</v>
      </c>
      <c r="C1913" s="1" t="s">
        <v>19</v>
      </c>
      <c r="D1913" s="1" t="s">
        <v>20</v>
      </c>
      <c r="E1913" s="1" t="s">
        <v>21</v>
      </c>
      <c r="F1913" s="1"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row>
    <row r="1914" spans="1:17" ht="12.5" x14ac:dyDescent="0.25">
      <c r="A1914" s="1" t="s">
        <v>2001</v>
      </c>
      <c r="B1914" s="1" t="s">
        <v>18</v>
      </c>
      <c r="C1914" s="1" t="s">
        <v>27</v>
      </c>
      <c r="D1914" s="1" t="s">
        <v>20</v>
      </c>
      <c r="E1914" s="1" t="s">
        <v>21</v>
      </c>
      <c r="F1914" s="1" t="s">
        <v>44</v>
      </c>
      <c r="G1914" s="1">
        <v>72.78</v>
      </c>
      <c r="H1914" s="1">
        <v>10</v>
      </c>
      <c r="I1914" s="1">
        <v>36.39</v>
      </c>
      <c r="J1914" s="1">
        <v>764.19</v>
      </c>
      <c r="K1914" s="4">
        <v>43526</v>
      </c>
      <c r="L1914" s="3">
        <v>0.72499999999999998</v>
      </c>
      <c r="M1914" s="1" t="s">
        <v>23</v>
      </c>
      <c r="N1914" s="1">
        <v>727.8</v>
      </c>
      <c r="O1914" s="1">
        <v>4.7619047620000003</v>
      </c>
      <c r="P1914" s="1">
        <v>36.39</v>
      </c>
      <c r="Q1914" s="1">
        <v>7.3</v>
      </c>
    </row>
    <row r="1915" spans="1:17" ht="12.5" x14ac:dyDescent="0.25">
      <c r="A1915" s="1" t="s">
        <v>2002</v>
      </c>
      <c r="B1915" s="1" t="s">
        <v>18</v>
      </c>
      <c r="C1915" s="1" t="s">
        <v>25</v>
      </c>
      <c r="D1915" s="1" t="s">
        <v>20</v>
      </c>
      <c r="E1915" s="1" t="s">
        <v>29</v>
      </c>
      <c r="F1915" s="1"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row>
    <row r="1916" spans="1:17" ht="12.5" x14ac:dyDescent="0.25">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ht="12.5" x14ac:dyDescent="0.25">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ht="12.5" x14ac:dyDescent="0.25">
      <c r="A1918" s="1" t="s">
        <v>2005</v>
      </c>
      <c r="B1918" s="1" t="s">
        <v>54</v>
      </c>
      <c r="C1918" s="1" t="s">
        <v>25</v>
      </c>
      <c r="D1918" s="1" t="s">
        <v>20</v>
      </c>
      <c r="E1918" s="1" t="s">
        <v>21</v>
      </c>
      <c r="F1918" s="1"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row>
    <row r="1919" spans="1:17" ht="12.5" x14ac:dyDescent="0.25">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ht="12.5" x14ac:dyDescent="0.25">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ht="12.5" x14ac:dyDescent="0.25">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ht="12.5" x14ac:dyDescent="0.25">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ht="12.5" x14ac:dyDescent="0.25">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ht="12.5" x14ac:dyDescent="0.25">
      <c r="A1924" s="1" t="s">
        <v>2011</v>
      </c>
      <c r="B1924" s="1" t="s">
        <v>33</v>
      </c>
      <c r="C1924" s="1" t="s">
        <v>27</v>
      </c>
      <c r="D1924" s="1" t="s">
        <v>20</v>
      </c>
      <c r="E1924" s="1" t="s">
        <v>21</v>
      </c>
      <c r="F1924" s="1" t="s">
        <v>84</v>
      </c>
      <c r="G1924" s="1">
        <v>74.22</v>
      </c>
      <c r="H1924" s="1">
        <v>10</v>
      </c>
      <c r="I1924" s="1">
        <v>37.11</v>
      </c>
      <c r="J1924" s="1">
        <v>779.31</v>
      </c>
      <c r="K1924" s="4">
        <v>43466</v>
      </c>
      <c r="L1924" s="3">
        <v>0.61250000000000004</v>
      </c>
      <c r="M1924" s="1" t="s">
        <v>23</v>
      </c>
      <c r="N1924" s="1">
        <v>742.2</v>
      </c>
      <c r="O1924" s="1">
        <v>4.7619047620000003</v>
      </c>
      <c r="P1924" s="1">
        <v>37.11</v>
      </c>
      <c r="Q1924" s="1">
        <v>4.3</v>
      </c>
    </row>
    <row r="1925" spans="1:17" ht="12.5" x14ac:dyDescent="0.25">
      <c r="A1925" s="1" t="s">
        <v>2012</v>
      </c>
      <c r="B1925" s="1" t="s">
        <v>33</v>
      </c>
      <c r="C1925" s="1" t="s">
        <v>25</v>
      </c>
      <c r="D1925" s="1" t="s">
        <v>20</v>
      </c>
      <c r="E1925" s="1" t="s">
        <v>29</v>
      </c>
      <c r="F1925" s="1" t="s">
        <v>84</v>
      </c>
      <c r="G1925" s="1">
        <v>74.22</v>
      </c>
      <c r="H1925" s="1">
        <v>10</v>
      </c>
      <c r="I1925" s="1">
        <v>37.11</v>
      </c>
      <c r="J1925" s="1">
        <v>779.31</v>
      </c>
      <c r="K1925" s="4">
        <v>43466</v>
      </c>
      <c r="L1925" s="3">
        <v>0.61250000000000004</v>
      </c>
      <c r="M1925" s="1" t="s">
        <v>23</v>
      </c>
      <c r="N1925" s="1">
        <v>742.2</v>
      </c>
      <c r="O1925" s="1">
        <v>4.7619047620000003</v>
      </c>
      <c r="P1925" s="1">
        <v>37.11</v>
      </c>
      <c r="Q1925" s="1">
        <v>4.3</v>
      </c>
    </row>
    <row r="1926" spans="1:17" ht="12.5" x14ac:dyDescent="0.25">
      <c r="A1926" s="1" t="s">
        <v>2013</v>
      </c>
      <c r="B1926" s="1" t="s">
        <v>18</v>
      </c>
      <c r="C1926" s="1" t="s">
        <v>27</v>
      </c>
      <c r="D1926" s="1" t="s">
        <v>20</v>
      </c>
      <c r="E1926" s="1" t="s">
        <v>21</v>
      </c>
      <c r="F1926" s="1" t="s">
        <v>39</v>
      </c>
      <c r="G1926" s="1">
        <v>74.22</v>
      </c>
      <c r="H1926" s="1">
        <v>10</v>
      </c>
      <c r="I1926" s="1">
        <v>37.11</v>
      </c>
      <c r="J1926" s="1">
        <v>779.31</v>
      </c>
      <c r="K1926" s="4">
        <v>43466</v>
      </c>
      <c r="L1926" s="3">
        <v>0.61250000000000004</v>
      </c>
      <c r="M1926" s="1" t="s">
        <v>23</v>
      </c>
      <c r="N1926" s="1">
        <v>742.2</v>
      </c>
      <c r="O1926" s="1">
        <v>4.7619047620000003</v>
      </c>
      <c r="P1926" s="1">
        <v>37.11</v>
      </c>
      <c r="Q1926" s="1">
        <v>4.3</v>
      </c>
    </row>
    <row r="1927" spans="1:17" ht="12.5" x14ac:dyDescent="0.25">
      <c r="A1927" s="1" t="s">
        <v>2014</v>
      </c>
      <c r="B1927" s="1" t="s">
        <v>18</v>
      </c>
      <c r="C1927" s="1" t="s">
        <v>25</v>
      </c>
      <c r="D1927" s="1" t="s">
        <v>20</v>
      </c>
      <c r="E1927" s="1" t="s">
        <v>21</v>
      </c>
      <c r="F1927" s="1" t="s">
        <v>84</v>
      </c>
      <c r="G1927" s="1">
        <v>74.22</v>
      </c>
      <c r="H1927" s="1">
        <v>10</v>
      </c>
      <c r="I1927" s="1">
        <v>37.11</v>
      </c>
      <c r="J1927" s="1">
        <v>779.31</v>
      </c>
      <c r="K1927" s="4">
        <v>43466</v>
      </c>
      <c r="L1927" s="3">
        <v>0.61250000000000004</v>
      </c>
      <c r="M1927" s="1" t="s">
        <v>23</v>
      </c>
      <c r="N1927" s="1">
        <v>742.2</v>
      </c>
      <c r="O1927" s="1">
        <v>4.7619047620000003</v>
      </c>
      <c r="P1927" s="1">
        <v>37.11</v>
      </c>
      <c r="Q1927" s="1">
        <v>4.3</v>
      </c>
    </row>
    <row r="1928" spans="1:17" ht="12.5" x14ac:dyDescent="0.25">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ht="12.5" x14ac:dyDescent="0.25">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ht="12.5" x14ac:dyDescent="0.25">
      <c r="A1930" s="1" t="s">
        <v>2017</v>
      </c>
      <c r="B1930" s="1" t="s">
        <v>33</v>
      </c>
      <c r="C1930" s="1" t="s">
        <v>25</v>
      </c>
      <c r="D1930" s="1" t="s">
        <v>28</v>
      </c>
      <c r="E1930" s="1" t="s">
        <v>29</v>
      </c>
      <c r="F1930" s="1"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row>
    <row r="1931" spans="1:17" ht="12.5" x14ac:dyDescent="0.25">
      <c r="A1931" s="1" t="s">
        <v>2018</v>
      </c>
      <c r="B1931" s="1" t="s">
        <v>54</v>
      </c>
      <c r="C1931" s="1" t="s">
        <v>25</v>
      </c>
      <c r="D1931" s="1" t="s">
        <v>20</v>
      </c>
      <c r="E1931" s="1" t="s">
        <v>21</v>
      </c>
      <c r="F1931" s="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row>
    <row r="1932" spans="1:17" ht="12.5" x14ac:dyDescent="0.25">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ht="12.5" x14ac:dyDescent="0.25">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ht="12.5" x14ac:dyDescent="0.25">
      <c r="A1934" s="1" t="s">
        <v>2021</v>
      </c>
      <c r="B1934" s="1" t="s">
        <v>54</v>
      </c>
      <c r="C1934" s="1" t="s">
        <v>25</v>
      </c>
      <c r="D1934" s="1" t="s">
        <v>28</v>
      </c>
      <c r="E1934" s="1" t="s">
        <v>21</v>
      </c>
      <c r="F1934" s="1"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row>
    <row r="1935" spans="1:17" ht="12.5" x14ac:dyDescent="0.25">
      <c r="A1935" s="1" t="s">
        <v>2022</v>
      </c>
      <c r="B1935" s="1" t="s">
        <v>18</v>
      </c>
      <c r="C1935" s="1" t="s">
        <v>25</v>
      </c>
      <c r="D1935" s="1" t="s">
        <v>28</v>
      </c>
      <c r="E1935" s="1" t="s">
        <v>21</v>
      </c>
      <c r="F1935" s="1"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row>
    <row r="1936" spans="1:17" ht="12.5" x14ac:dyDescent="0.25">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ht="12.5" x14ac:dyDescent="0.25">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ht="12.5" x14ac:dyDescent="0.25">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ht="12.5" x14ac:dyDescent="0.25">
      <c r="A1939" s="1" t="s">
        <v>2026</v>
      </c>
      <c r="B1939" s="1" t="s">
        <v>54</v>
      </c>
      <c r="C1939" s="1" t="s">
        <v>25</v>
      </c>
      <c r="D1939" s="1" t="s">
        <v>20</v>
      </c>
      <c r="E1939" s="1" t="s">
        <v>21</v>
      </c>
      <c r="F1939" s="1"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row>
    <row r="1940" spans="1:17" ht="12.5" x14ac:dyDescent="0.25">
      <c r="A1940" s="1" t="s">
        <v>2027</v>
      </c>
      <c r="B1940" s="1" t="s">
        <v>33</v>
      </c>
      <c r="C1940" s="1" t="s">
        <v>25</v>
      </c>
      <c r="D1940" s="1" t="s">
        <v>20</v>
      </c>
      <c r="E1940" s="1" t="s">
        <v>21</v>
      </c>
      <c r="F1940" s="1"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row>
    <row r="1941" spans="1:17" ht="12.5" x14ac:dyDescent="0.25">
      <c r="A1941" s="1" t="s">
        <v>2028</v>
      </c>
      <c r="B1941" s="1" t="s">
        <v>54</v>
      </c>
      <c r="C1941" s="1" t="s">
        <v>25</v>
      </c>
      <c r="D1941" s="1" t="s">
        <v>28</v>
      </c>
      <c r="E1941" s="1" t="s">
        <v>21</v>
      </c>
      <c r="F1941" s="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row>
    <row r="1942" spans="1:17" ht="12.5" x14ac:dyDescent="0.25">
      <c r="A1942" s="1" t="s">
        <v>2029</v>
      </c>
      <c r="B1942" s="1" t="s">
        <v>18</v>
      </c>
      <c r="C1942" s="1" t="s">
        <v>25</v>
      </c>
      <c r="D1942" s="1" t="s">
        <v>28</v>
      </c>
      <c r="E1942" s="1" t="s">
        <v>21</v>
      </c>
      <c r="F1942" s="1"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row>
    <row r="1943" spans="1:17" ht="12.5" x14ac:dyDescent="0.25">
      <c r="A1943" s="1" t="s">
        <v>2030</v>
      </c>
      <c r="B1943" s="1" t="s">
        <v>54</v>
      </c>
      <c r="C1943" s="1" t="s">
        <v>25</v>
      </c>
      <c r="D1943" s="1" t="s">
        <v>28</v>
      </c>
      <c r="E1943" s="1" t="s">
        <v>21</v>
      </c>
      <c r="F1943" s="1"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row>
    <row r="1944" spans="1:17" ht="12.5" x14ac:dyDescent="0.25">
      <c r="A1944" s="1" t="s">
        <v>2031</v>
      </c>
      <c r="B1944" s="1" t="s">
        <v>54</v>
      </c>
      <c r="C1944" s="1" t="s">
        <v>25</v>
      </c>
      <c r="D1944" s="1" t="s">
        <v>28</v>
      </c>
      <c r="E1944" s="1" t="s">
        <v>29</v>
      </c>
      <c r="F1944" s="1"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row>
    <row r="1945" spans="1:17" ht="12.5" x14ac:dyDescent="0.25">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ht="12.5" x14ac:dyDescent="0.25">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ht="12.5" x14ac:dyDescent="0.25">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ht="12.5" x14ac:dyDescent="0.25">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ht="12.5" x14ac:dyDescent="0.25">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ht="12.5" x14ac:dyDescent="0.25">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ht="12.5" x14ac:dyDescent="0.25">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ht="12.5" x14ac:dyDescent="0.25">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ht="12.5" x14ac:dyDescent="0.25">
      <c r="A1953" s="1" t="s">
        <v>2040</v>
      </c>
      <c r="B1953" s="1" t="s">
        <v>54</v>
      </c>
      <c r="C1953" s="1" t="s">
        <v>25</v>
      </c>
      <c r="D1953" s="1" t="s">
        <v>20</v>
      </c>
      <c r="E1953" s="1" t="s">
        <v>29</v>
      </c>
      <c r="F1953" s="1" t="s">
        <v>39</v>
      </c>
      <c r="G1953" s="1">
        <v>77.2</v>
      </c>
      <c r="H1953" s="1">
        <v>10</v>
      </c>
      <c r="I1953" s="1">
        <v>38.6</v>
      </c>
      <c r="J1953" s="1">
        <v>810.6</v>
      </c>
      <c r="K1953" s="4">
        <v>43771</v>
      </c>
      <c r="L1953" s="3">
        <v>0.44305555555555554</v>
      </c>
      <c r="M1953" s="1" t="s">
        <v>48</v>
      </c>
      <c r="N1953" s="1">
        <v>772</v>
      </c>
      <c r="O1953" s="1">
        <v>4.7619047620000003</v>
      </c>
      <c r="P1953" s="1">
        <v>38.6</v>
      </c>
      <c r="Q1953" s="1">
        <v>5.6</v>
      </c>
    </row>
    <row r="1954" spans="1:17" ht="12.5" x14ac:dyDescent="0.25">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ht="12.5" x14ac:dyDescent="0.25">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ht="12.5" x14ac:dyDescent="0.25">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ht="12.5" x14ac:dyDescent="0.25">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ht="12.5" x14ac:dyDescent="0.25">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ht="12.5" x14ac:dyDescent="0.25">
      <c r="A1959" s="1" t="s">
        <v>2046</v>
      </c>
      <c r="B1959" s="1" t="s">
        <v>33</v>
      </c>
      <c r="C1959" s="1" t="s">
        <v>25</v>
      </c>
      <c r="D1959" s="1" t="s">
        <v>28</v>
      </c>
      <c r="E1959" s="1" t="s">
        <v>29</v>
      </c>
      <c r="F1959" s="1"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row>
    <row r="1960" spans="1:17" ht="12.5" x14ac:dyDescent="0.25">
      <c r="A1960" s="1" t="s">
        <v>2047</v>
      </c>
      <c r="B1960" s="1" t="s">
        <v>33</v>
      </c>
      <c r="C1960" s="1" t="s">
        <v>19</v>
      </c>
      <c r="D1960" s="1" t="s">
        <v>28</v>
      </c>
      <c r="E1960" s="1" t="s">
        <v>29</v>
      </c>
      <c r="F1960" s="1"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row>
    <row r="1961" spans="1:17" ht="12.5" x14ac:dyDescent="0.25">
      <c r="A1961" s="1" t="s">
        <v>2048</v>
      </c>
      <c r="B1961" s="1" t="s">
        <v>18</v>
      </c>
      <c r="C1961" s="1" t="s">
        <v>25</v>
      </c>
      <c r="D1961" s="1" t="s">
        <v>28</v>
      </c>
      <c r="E1961" s="1" t="s">
        <v>29</v>
      </c>
      <c r="F1961" s="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row>
    <row r="1962" spans="1:17" ht="12.5" x14ac:dyDescent="0.25">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ht="12.5" x14ac:dyDescent="0.25">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ht="12.5" x14ac:dyDescent="0.25">
      <c r="A1964" s="1" t="s">
        <v>2051</v>
      </c>
      <c r="B1964" s="1" t="s">
        <v>18</v>
      </c>
      <c r="C1964" s="1" t="s">
        <v>19</v>
      </c>
      <c r="D1964" s="1" t="s">
        <v>20</v>
      </c>
      <c r="E1964" s="1" t="s">
        <v>29</v>
      </c>
      <c r="F1964" s="1"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row>
    <row r="1965" spans="1:17" ht="12.5" x14ac:dyDescent="0.25">
      <c r="A1965" s="1" t="s">
        <v>2052</v>
      </c>
      <c r="B1965" s="1" t="s">
        <v>18</v>
      </c>
      <c r="C1965" s="1" t="s">
        <v>19</v>
      </c>
      <c r="D1965" s="1" t="s">
        <v>20</v>
      </c>
      <c r="E1965" s="1" t="s">
        <v>21</v>
      </c>
      <c r="F1965" s="1"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row>
    <row r="1966" spans="1:17" ht="12.5" x14ac:dyDescent="0.25">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ht="12.5" x14ac:dyDescent="0.25">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ht="12.5" x14ac:dyDescent="0.25">
      <c r="A1968" s="1" t="s">
        <v>2055</v>
      </c>
      <c r="B1968" s="1" t="s">
        <v>18</v>
      </c>
      <c r="C1968" s="1" t="s">
        <v>19</v>
      </c>
      <c r="D1968" s="1" t="s">
        <v>20</v>
      </c>
      <c r="E1968" s="1" t="s">
        <v>21</v>
      </c>
      <c r="F1968" s="1"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row>
    <row r="1969" spans="1:17" ht="12.5" x14ac:dyDescent="0.25">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ht="12.5" x14ac:dyDescent="0.25">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ht="12.5" x14ac:dyDescent="0.25">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ht="12.5" x14ac:dyDescent="0.25">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ht="12.5" x14ac:dyDescent="0.25">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ht="12.5" x14ac:dyDescent="0.25">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ht="12.5" x14ac:dyDescent="0.25">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ht="12.5" x14ac:dyDescent="0.25">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ht="12.5" x14ac:dyDescent="0.25">
      <c r="A1977" s="1" t="s">
        <v>2064</v>
      </c>
      <c r="B1977" s="1" t="s">
        <v>18</v>
      </c>
      <c r="C1977" s="1" t="s">
        <v>25</v>
      </c>
      <c r="D1977" s="1" t="s">
        <v>28</v>
      </c>
      <c r="E1977" s="1" t="s">
        <v>21</v>
      </c>
      <c r="F1977" s="1" t="s">
        <v>84</v>
      </c>
      <c r="G1977" s="1">
        <v>79.39</v>
      </c>
      <c r="H1977" s="1">
        <v>10</v>
      </c>
      <c r="I1977" s="1">
        <v>39.695</v>
      </c>
      <c r="J1977" s="1">
        <v>833.59500000000003</v>
      </c>
      <c r="K1977" s="4">
        <v>43648</v>
      </c>
      <c r="L1977" s="3">
        <v>0.85</v>
      </c>
      <c r="M1977" s="1" t="s">
        <v>23</v>
      </c>
      <c r="N1977" s="1">
        <v>793.9</v>
      </c>
      <c r="O1977" s="1">
        <v>4.7619047620000003</v>
      </c>
      <c r="P1977" s="1">
        <v>39.695</v>
      </c>
      <c r="Q1977" s="1">
        <v>6.2</v>
      </c>
    </row>
    <row r="1978" spans="1:17" ht="12.5" x14ac:dyDescent="0.25">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ht="12.5" x14ac:dyDescent="0.25">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ht="12.5" x14ac:dyDescent="0.25">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ht="12.5" x14ac:dyDescent="0.25">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ht="12.5" x14ac:dyDescent="0.25">
      <c r="A1982" s="1" t="s">
        <v>2069</v>
      </c>
      <c r="B1982" s="1" t="s">
        <v>18</v>
      </c>
      <c r="C1982" s="1" t="s">
        <v>25</v>
      </c>
      <c r="D1982" s="1" t="s">
        <v>20</v>
      </c>
      <c r="E1982" s="1" t="s">
        <v>29</v>
      </c>
      <c r="F1982" s="1"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row>
    <row r="1983" spans="1:17" ht="12.5" x14ac:dyDescent="0.25">
      <c r="A1983" s="1" t="s">
        <v>2070</v>
      </c>
      <c r="B1983" s="1" t="s">
        <v>18</v>
      </c>
      <c r="C1983" s="1" t="s">
        <v>19</v>
      </c>
      <c r="D1983" s="1" t="s">
        <v>20</v>
      </c>
      <c r="E1983" s="1" t="s">
        <v>29</v>
      </c>
      <c r="F1983" s="1"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row>
    <row r="1984" spans="1:17" ht="12.5" x14ac:dyDescent="0.25">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ht="12.5" x14ac:dyDescent="0.25">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ht="12.5" x14ac:dyDescent="0.25">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ht="12.5" x14ac:dyDescent="0.25">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ht="12.5" x14ac:dyDescent="0.25">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ht="12.5" x14ac:dyDescent="0.25">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ht="12.5" x14ac:dyDescent="0.25">
      <c r="A1990" s="1" t="s">
        <v>2077</v>
      </c>
      <c r="B1990" s="1" t="s">
        <v>54</v>
      </c>
      <c r="C1990" s="1" t="s">
        <v>25</v>
      </c>
      <c r="D1990" s="1" t="s">
        <v>28</v>
      </c>
      <c r="E1990" s="1" t="s">
        <v>21</v>
      </c>
      <c r="F1990" s="1"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row>
    <row r="1991" spans="1:17" ht="12.5" x14ac:dyDescent="0.25">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ht="12.5" x14ac:dyDescent="0.25">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ht="12.5" x14ac:dyDescent="0.25">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ht="12.5" x14ac:dyDescent="0.25">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ht="12.5" x14ac:dyDescent="0.25">
      <c r="A1995" s="1" t="s">
        <v>2082</v>
      </c>
      <c r="B1995" s="1" t="s">
        <v>18</v>
      </c>
      <c r="C1995" s="1" t="s">
        <v>25</v>
      </c>
      <c r="D1995" s="1" t="s">
        <v>20</v>
      </c>
      <c r="E1995" s="1" t="s">
        <v>21</v>
      </c>
      <c r="F1995" s="1"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row>
    <row r="1996" spans="1:17" ht="12.5" x14ac:dyDescent="0.25">
      <c r="A1996" s="1" t="s">
        <v>2083</v>
      </c>
      <c r="B1996" s="1" t="s">
        <v>18</v>
      </c>
      <c r="C1996" s="1" t="s">
        <v>25</v>
      </c>
      <c r="D1996" s="1" t="s">
        <v>20</v>
      </c>
      <c r="E1996" s="1" t="s">
        <v>21</v>
      </c>
      <c r="F1996" s="1"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row>
    <row r="1997" spans="1:17" ht="12.5" x14ac:dyDescent="0.25">
      <c r="A1997" s="1" t="s">
        <v>2084</v>
      </c>
      <c r="B1997" s="1" t="s">
        <v>18</v>
      </c>
      <c r="C1997" s="1" t="s">
        <v>19</v>
      </c>
      <c r="D1997" s="1" t="s">
        <v>20</v>
      </c>
      <c r="E1997" s="1" t="s">
        <v>21</v>
      </c>
      <c r="F1997" s="1"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row>
    <row r="1998" spans="1:17" ht="12.5" x14ac:dyDescent="0.25">
      <c r="A1998" s="1" t="s">
        <v>2085</v>
      </c>
      <c r="B1998" s="1" t="s">
        <v>18</v>
      </c>
      <c r="C1998" s="1" t="s">
        <v>25</v>
      </c>
      <c r="D1998" s="1" t="s">
        <v>20</v>
      </c>
      <c r="E1998" s="1" t="s">
        <v>21</v>
      </c>
      <c r="F1998" s="1"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row>
    <row r="1999" spans="1:17" ht="12.5" x14ac:dyDescent="0.25">
      <c r="A1999" s="1" t="s">
        <v>2086</v>
      </c>
      <c r="B1999" s="1" t="s">
        <v>18</v>
      </c>
      <c r="C1999" s="1" t="s">
        <v>19</v>
      </c>
      <c r="D1999" s="1" t="s">
        <v>20</v>
      </c>
      <c r="E1999" s="1" t="s">
        <v>21</v>
      </c>
      <c r="F1999" s="1"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row>
    <row r="2000" spans="1:17" ht="12.5" x14ac:dyDescent="0.25">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ht="12.5" x14ac:dyDescent="0.25">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ht="12.5" x14ac:dyDescent="0.25">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ht="12.5" x14ac:dyDescent="0.25">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ht="12.5" x14ac:dyDescent="0.25">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ht="12.5" x14ac:dyDescent="0.25">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ht="12.5" x14ac:dyDescent="0.25">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ht="12.5" x14ac:dyDescent="0.25">
      <c r="A2007" s="1" t="s">
        <v>2094</v>
      </c>
      <c r="B2007" s="1" t="s">
        <v>18</v>
      </c>
      <c r="C2007" s="1" t="s">
        <v>25</v>
      </c>
      <c r="D2007" s="1" t="s">
        <v>28</v>
      </c>
      <c r="E2007" s="1" t="s">
        <v>29</v>
      </c>
      <c r="F2007" s="1"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row>
    <row r="2008" spans="1:17" ht="12.5" x14ac:dyDescent="0.25">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ht="12.5" x14ac:dyDescent="0.25">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ht="12.5" x14ac:dyDescent="0.25">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ht="12.5" x14ac:dyDescent="0.25">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ht="12.5" x14ac:dyDescent="0.25">
      <c r="A2012" s="1" t="s">
        <v>2099</v>
      </c>
      <c r="B2012" s="1" t="s">
        <v>18</v>
      </c>
      <c r="C2012" s="1" t="s">
        <v>25</v>
      </c>
      <c r="D2012" s="1" t="s">
        <v>28</v>
      </c>
      <c r="E2012" s="1" t="s">
        <v>21</v>
      </c>
      <c r="F2012" s="1"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row>
    <row r="2013" spans="1:17" ht="12.5" x14ac:dyDescent="0.25">
      <c r="A2013" s="1" t="s">
        <v>2100</v>
      </c>
      <c r="B2013" s="1" t="s">
        <v>18</v>
      </c>
      <c r="C2013" s="1" t="s">
        <v>25</v>
      </c>
      <c r="D2013" s="1" t="s">
        <v>28</v>
      </c>
      <c r="E2013" s="1" t="s">
        <v>21</v>
      </c>
      <c r="F2013" s="1"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row>
    <row r="2014" spans="1:17" ht="12.5" x14ac:dyDescent="0.25">
      <c r="A2014" s="1" t="s">
        <v>2101</v>
      </c>
      <c r="B2014" s="1" t="s">
        <v>18</v>
      </c>
      <c r="C2014" s="1" t="s">
        <v>25</v>
      </c>
      <c r="D2014" s="1" t="s">
        <v>28</v>
      </c>
      <c r="E2014" s="1" t="s">
        <v>21</v>
      </c>
      <c r="F2014" s="1"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row>
    <row r="2015" spans="1:17" ht="12.5" x14ac:dyDescent="0.25">
      <c r="A2015" s="1" t="s">
        <v>2102</v>
      </c>
      <c r="B2015" s="1" t="s">
        <v>54</v>
      </c>
      <c r="C2015" s="1" t="s">
        <v>25</v>
      </c>
      <c r="D2015" s="1" t="s">
        <v>20</v>
      </c>
      <c r="E2015" s="1" t="s">
        <v>29</v>
      </c>
      <c r="F2015" s="1"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row>
    <row r="2016" spans="1:17" ht="12.5" x14ac:dyDescent="0.25">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ht="12.5" x14ac:dyDescent="0.25">
      <c r="A2017" s="1" t="s">
        <v>2104</v>
      </c>
      <c r="B2017" s="1" t="s">
        <v>18</v>
      </c>
      <c r="C2017" s="1" t="s">
        <v>19</v>
      </c>
      <c r="D2017" s="1" t="s">
        <v>20</v>
      </c>
      <c r="E2017" s="1" t="s">
        <v>29</v>
      </c>
      <c r="F2017" s="1" t="s">
        <v>39</v>
      </c>
      <c r="G2017" s="1">
        <v>87.1</v>
      </c>
      <c r="H2017" s="1">
        <v>10</v>
      </c>
      <c r="I2017" s="1">
        <v>43.55</v>
      </c>
      <c r="J2017" s="1">
        <v>914.55</v>
      </c>
      <c r="K2017" s="4">
        <v>43801</v>
      </c>
      <c r="L2017" s="3">
        <v>0.61458333333333337</v>
      </c>
      <c r="M2017" s="1" t="s">
        <v>48</v>
      </c>
      <c r="N2017" s="1">
        <v>871</v>
      </c>
      <c r="O2017" s="1">
        <v>4.7619047620000003</v>
      </c>
      <c r="P2017" s="1">
        <v>43.55</v>
      </c>
      <c r="Q2017" s="1">
        <v>9.9</v>
      </c>
    </row>
    <row r="2018" spans="1:17" ht="12.5" x14ac:dyDescent="0.25">
      <c r="A2018" s="1" t="s">
        <v>2105</v>
      </c>
      <c r="B2018" s="1" t="s">
        <v>18</v>
      </c>
      <c r="C2018" s="1" t="s">
        <v>19</v>
      </c>
      <c r="D2018" s="1" t="s">
        <v>20</v>
      </c>
      <c r="E2018" s="1" t="s">
        <v>29</v>
      </c>
      <c r="F2018" s="1" t="s">
        <v>39</v>
      </c>
      <c r="G2018" s="1">
        <v>87.1</v>
      </c>
      <c r="H2018" s="1">
        <v>10</v>
      </c>
      <c r="I2018" s="1">
        <v>43.55</v>
      </c>
      <c r="J2018" s="1">
        <v>914.55</v>
      </c>
      <c r="K2018" s="4">
        <v>43801</v>
      </c>
      <c r="L2018" s="3">
        <v>0.61458333333333337</v>
      </c>
      <c r="M2018" s="1" t="s">
        <v>48</v>
      </c>
      <c r="N2018" s="1">
        <v>871</v>
      </c>
      <c r="O2018" s="1">
        <v>4.7619047620000003</v>
      </c>
      <c r="P2018" s="1">
        <v>43.55</v>
      </c>
      <c r="Q2018" s="1">
        <v>9.9</v>
      </c>
    </row>
    <row r="2019" spans="1:17" ht="12.5" x14ac:dyDescent="0.25">
      <c r="A2019" s="1" t="s">
        <v>2106</v>
      </c>
      <c r="B2019" s="1" t="s">
        <v>18</v>
      </c>
      <c r="C2019" s="1" t="s">
        <v>19</v>
      </c>
      <c r="D2019" s="1" t="s">
        <v>20</v>
      </c>
      <c r="E2019" s="1" t="s">
        <v>29</v>
      </c>
      <c r="F2019" s="1"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row>
    <row r="2020" spans="1:17" ht="12.5" x14ac:dyDescent="0.25">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ht="12.5" x14ac:dyDescent="0.25">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ht="12.5" x14ac:dyDescent="0.25">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ht="12.5" x14ac:dyDescent="0.25">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ht="12.5" x14ac:dyDescent="0.25">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ht="12.5" x14ac:dyDescent="0.25">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ht="12.5" x14ac:dyDescent="0.25">
      <c r="A2026" s="1" t="s">
        <v>2113</v>
      </c>
      <c r="B2026" s="1" t="s">
        <v>33</v>
      </c>
      <c r="C2026" s="1" t="s">
        <v>27</v>
      </c>
      <c r="D2026" s="1" t="s">
        <v>20</v>
      </c>
      <c r="E2026" s="1" t="s">
        <v>21</v>
      </c>
      <c r="F2026" s="1"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row>
    <row r="2027" spans="1:17" ht="12.5" x14ac:dyDescent="0.25">
      <c r="A2027" s="1" t="s">
        <v>2114</v>
      </c>
      <c r="B2027" s="1" t="s">
        <v>33</v>
      </c>
      <c r="C2027" s="1" t="s">
        <v>27</v>
      </c>
      <c r="D2027" s="1" t="s">
        <v>20</v>
      </c>
      <c r="E2027" s="1" t="s">
        <v>21</v>
      </c>
      <c r="F2027" s="1"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row>
    <row r="2028" spans="1:17" ht="12.5" x14ac:dyDescent="0.25">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ht="12.5" x14ac:dyDescent="0.25">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ht="12.5" x14ac:dyDescent="0.25">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ht="12.5" x14ac:dyDescent="0.25">
      <c r="A2031" s="1" t="s">
        <v>2118</v>
      </c>
      <c r="B2031" s="1" t="s">
        <v>18</v>
      </c>
      <c r="C2031" s="1" t="s">
        <v>19</v>
      </c>
      <c r="D2031" s="1" t="s">
        <v>20</v>
      </c>
      <c r="E2031" s="1" t="s">
        <v>29</v>
      </c>
      <c r="F2031" s="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row>
    <row r="2032" spans="1:17" ht="12.5" x14ac:dyDescent="0.25">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ht="12.5" x14ac:dyDescent="0.25">
      <c r="A2033" s="1" t="s">
        <v>2120</v>
      </c>
      <c r="B2033" s="1" t="s">
        <v>33</v>
      </c>
      <c r="C2033" s="1" t="s">
        <v>19</v>
      </c>
      <c r="D2033" s="1" t="s">
        <v>20</v>
      </c>
      <c r="E2033" s="1" t="s">
        <v>29</v>
      </c>
      <c r="F2033" s="1"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row>
    <row r="2034" spans="1:17" ht="12.5" x14ac:dyDescent="0.25">
      <c r="A2034" s="1" t="s">
        <v>2121</v>
      </c>
      <c r="B2034" s="1" t="s">
        <v>18</v>
      </c>
      <c r="C2034" s="1" t="s">
        <v>19</v>
      </c>
      <c r="D2034" s="1" t="s">
        <v>28</v>
      </c>
      <c r="E2034" s="1" t="s">
        <v>21</v>
      </c>
      <c r="F2034" s="1" t="s">
        <v>39</v>
      </c>
      <c r="G2034" s="1">
        <v>89.2</v>
      </c>
      <c r="H2034" s="1">
        <v>10</v>
      </c>
      <c r="I2034" s="1">
        <v>44.6</v>
      </c>
      <c r="J2034" s="1">
        <v>936.6</v>
      </c>
      <c r="K2034" s="4">
        <v>43771</v>
      </c>
      <c r="L2034" s="3">
        <v>0.65416666666666667</v>
      </c>
      <c r="M2034" s="1" t="s">
        <v>23</v>
      </c>
      <c r="N2034" s="1">
        <v>892</v>
      </c>
      <c r="O2034" s="1">
        <v>4.7619047620000003</v>
      </c>
      <c r="P2034" s="1">
        <v>44.6</v>
      </c>
      <c r="Q2034" s="1">
        <v>4.4000000000000004</v>
      </c>
    </row>
    <row r="2035" spans="1:17" ht="12.5" x14ac:dyDescent="0.25">
      <c r="A2035" s="1" t="s">
        <v>2122</v>
      </c>
      <c r="B2035" s="1" t="s">
        <v>18</v>
      </c>
      <c r="C2035" s="1" t="s">
        <v>25</v>
      </c>
      <c r="D2035" s="1" t="s">
        <v>28</v>
      </c>
      <c r="E2035" s="1" t="s">
        <v>21</v>
      </c>
      <c r="F2035" s="1" t="s">
        <v>39</v>
      </c>
      <c r="G2035" s="1">
        <v>89.2</v>
      </c>
      <c r="H2035" s="1">
        <v>10</v>
      </c>
      <c r="I2035" s="1">
        <v>44.6</v>
      </c>
      <c r="J2035" s="1">
        <v>936.6</v>
      </c>
      <c r="K2035" s="4">
        <v>43771</v>
      </c>
      <c r="L2035" s="3">
        <v>0.65416666666666667</v>
      </c>
      <c r="M2035" s="1" t="s">
        <v>48</v>
      </c>
      <c r="N2035" s="1">
        <v>892</v>
      </c>
      <c r="O2035" s="1">
        <v>4.7619047620000003</v>
      </c>
      <c r="P2035" s="1">
        <v>44.6</v>
      </c>
      <c r="Q2035" s="1">
        <v>4.4000000000000004</v>
      </c>
    </row>
    <row r="2036" spans="1:17" ht="12.5" x14ac:dyDescent="0.25">
      <c r="A2036" s="1" t="s">
        <v>2123</v>
      </c>
      <c r="B2036" s="1" t="s">
        <v>18</v>
      </c>
      <c r="C2036" s="1" t="s">
        <v>19</v>
      </c>
      <c r="D2036" s="1" t="s">
        <v>28</v>
      </c>
      <c r="E2036" s="1" t="s">
        <v>21</v>
      </c>
      <c r="F2036" s="1" t="s">
        <v>39</v>
      </c>
      <c r="G2036" s="1">
        <v>89.2</v>
      </c>
      <c r="H2036" s="1">
        <v>10</v>
      </c>
      <c r="I2036" s="1">
        <v>44.6</v>
      </c>
      <c r="J2036" s="1">
        <v>936.6</v>
      </c>
      <c r="K2036" s="4">
        <v>43771</v>
      </c>
      <c r="L2036" s="3">
        <v>0.65416666666666667</v>
      </c>
      <c r="M2036" s="1" t="s">
        <v>23</v>
      </c>
      <c r="N2036" s="1">
        <v>892</v>
      </c>
      <c r="O2036" s="1">
        <v>4.7619047620000003</v>
      </c>
      <c r="P2036" s="1">
        <v>44.6</v>
      </c>
      <c r="Q2036" s="1">
        <v>4.4000000000000004</v>
      </c>
    </row>
    <row r="2037" spans="1:17" ht="12.5" x14ac:dyDescent="0.25">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ht="12.5" x14ac:dyDescent="0.25">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ht="12.5" x14ac:dyDescent="0.25">
      <c r="A2039" s="1" t="s">
        <v>2126</v>
      </c>
      <c r="B2039" s="1" t="s">
        <v>18</v>
      </c>
      <c r="C2039" s="1" t="s">
        <v>19</v>
      </c>
      <c r="D2039" s="1" t="s">
        <v>28</v>
      </c>
      <c r="E2039" s="1" t="s">
        <v>21</v>
      </c>
      <c r="F2039" s="1" t="s">
        <v>39</v>
      </c>
      <c r="G2039" s="1">
        <v>89.48</v>
      </c>
      <c r="H2039" s="1">
        <v>10</v>
      </c>
      <c r="I2039" s="1">
        <v>44.74</v>
      </c>
      <c r="J2039" s="1">
        <v>939.54</v>
      </c>
      <c r="K2039" s="4">
        <v>43617</v>
      </c>
      <c r="L2039" s="3">
        <v>0.53194444444444444</v>
      </c>
      <c r="M2039" s="1" t="s">
        <v>23</v>
      </c>
      <c r="N2039" s="1">
        <v>894.8</v>
      </c>
      <c r="O2039" s="1">
        <v>4.7619047620000003</v>
      </c>
      <c r="P2039" s="1">
        <v>44.74</v>
      </c>
      <c r="Q2039" s="1">
        <v>9.6</v>
      </c>
    </row>
    <row r="2040" spans="1:17" ht="12.5" x14ac:dyDescent="0.25">
      <c r="A2040" s="1" t="s">
        <v>2127</v>
      </c>
      <c r="B2040" s="1" t="s">
        <v>18</v>
      </c>
      <c r="C2040" s="1" t="s">
        <v>19</v>
      </c>
      <c r="D2040" s="1" t="s">
        <v>28</v>
      </c>
      <c r="E2040" s="1" t="s">
        <v>21</v>
      </c>
      <c r="F2040" s="1" t="s">
        <v>39</v>
      </c>
      <c r="G2040" s="1">
        <v>89.48</v>
      </c>
      <c r="H2040" s="1">
        <v>10</v>
      </c>
      <c r="I2040" s="1">
        <v>44.74</v>
      </c>
      <c r="J2040" s="1">
        <v>939.54</v>
      </c>
      <c r="K2040" s="4">
        <v>43617</v>
      </c>
      <c r="L2040" s="3">
        <v>0.53194444444444444</v>
      </c>
      <c r="M2040" s="1" t="s">
        <v>48</v>
      </c>
      <c r="N2040" s="1">
        <v>894.8</v>
      </c>
      <c r="O2040" s="1">
        <v>4.7619047620000003</v>
      </c>
      <c r="P2040" s="1">
        <v>44.74</v>
      </c>
      <c r="Q2040" s="1">
        <v>9.6</v>
      </c>
    </row>
    <row r="2041" spans="1:17" ht="12.5" x14ac:dyDescent="0.25">
      <c r="A2041" s="1" t="s">
        <v>2128</v>
      </c>
      <c r="B2041" s="1" t="s">
        <v>18</v>
      </c>
      <c r="C2041" s="1" t="s">
        <v>19</v>
      </c>
      <c r="D2041" s="1" t="s">
        <v>28</v>
      </c>
      <c r="E2041" s="1" t="s">
        <v>21</v>
      </c>
      <c r="F2041" s="1" t="s">
        <v>39</v>
      </c>
      <c r="G2041" s="1">
        <v>89.48</v>
      </c>
      <c r="H2041" s="1">
        <v>10</v>
      </c>
      <c r="I2041" s="1">
        <v>44.74</v>
      </c>
      <c r="J2041" s="1">
        <v>939.54</v>
      </c>
      <c r="K2041" s="4">
        <v>43617</v>
      </c>
      <c r="L2041" s="3">
        <v>0.53194444444444444</v>
      </c>
      <c r="M2041" s="1" t="s">
        <v>23</v>
      </c>
      <c r="N2041" s="1">
        <v>894.8</v>
      </c>
      <c r="O2041" s="1">
        <v>4.7619047620000003</v>
      </c>
      <c r="P2041" s="1">
        <v>44.74</v>
      </c>
      <c r="Q2041" s="1">
        <v>9.6</v>
      </c>
    </row>
    <row r="2042" spans="1:17" ht="12.5" x14ac:dyDescent="0.25">
      <c r="A2042" s="1" t="s">
        <v>2129</v>
      </c>
      <c r="B2042" s="1" t="s">
        <v>54</v>
      </c>
      <c r="C2042" s="1" t="s">
        <v>25</v>
      </c>
      <c r="D2042" s="1" t="s">
        <v>28</v>
      </c>
      <c r="E2042" s="1" t="s">
        <v>21</v>
      </c>
      <c r="F2042" s="1"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row>
    <row r="2043" spans="1:17" ht="12.5" x14ac:dyDescent="0.25">
      <c r="A2043" s="1" t="s">
        <v>2130</v>
      </c>
      <c r="B2043" s="1" t="s">
        <v>54</v>
      </c>
      <c r="C2043" s="1" t="s">
        <v>25</v>
      </c>
      <c r="D2043" s="1" t="s">
        <v>28</v>
      </c>
      <c r="E2043" s="1" t="s">
        <v>21</v>
      </c>
      <c r="F2043" s="1"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row>
    <row r="2044" spans="1:17" ht="12.5" x14ac:dyDescent="0.25">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ht="12.5" x14ac:dyDescent="0.25">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ht="12.5" x14ac:dyDescent="0.25">
      <c r="A2046" s="1" t="s">
        <v>2133</v>
      </c>
      <c r="B2046" s="1" t="s">
        <v>54</v>
      </c>
      <c r="C2046" s="1" t="s">
        <v>25</v>
      </c>
      <c r="D2046" s="1" t="s">
        <v>20</v>
      </c>
      <c r="E2046" s="1" t="s">
        <v>21</v>
      </c>
      <c r="F2046" s="1"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row>
    <row r="2047" spans="1:17" ht="12.5" x14ac:dyDescent="0.25">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ht="12.5" x14ac:dyDescent="0.25">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ht="12.5" x14ac:dyDescent="0.25">
      <c r="A2049" s="1" t="s">
        <v>2136</v>
      </c>
      <c r="B2049" s="1" t="s">
        <v>18</v>
      </c>
      <c r="C2049" s="1" t="s">
        <v>27</v>
      </c>
      <c r="D2049" s="1" t="s">
        <v>20</v>
      </c>
      <c r="E2049" s="1" t="s">
        <v>29</v>
      </c>
      <c r="F2049" s="1"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row>
    <row r="2050" spans="1:17" ht="12.5" x14ac:dyDescent="0.25">
      <c r="A2050" s="1" t="s">
        <v>2137</v>
      </c>
      <c r="B2050" s="1" t="s">
        <v>18</v>
      </c>
      <c r="C2050" s="1" t="s">
        <v>27</v>
      </c>
      <c r="D2050" s="1" t="s">
        <v>20</v>
      </c>
      <c r="E2050" s="1" t="s">
        <v>29</v>
      </c>
      <c r="F2050" s="1"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row>
    <row r="2051" spans="1:17" ht="12.5" x14ac:dyDescent="0.25">
      <c r="A2051" s="1" t="s">
        <v>2138</v>
      </c>
      <c r="B2051" s="1" t="s">
        <v>18</v>
      </c>
      <c r="C2051" s="1" t="s">
        <v>25</v>
      </c>
      <c r="D2051" s="1" t="s">
        <v>28</v>
      </c>
      <c r="E2051" s="1" t="s">
        <v>29</v>
      </c>
      <c r="F2051" s="1" t="s">
        <v>22</v>
      </c>
      <c r="G2051" s="1">
        <v>95.44</v>
      </c>
      <c r="H2051" s="1">
        <v>10</v>
      </c>
      <c r="I2051" s="1">
        <v>47.72</v>
      </c>
      <c r="J2051" s="1">
        <v>1002.12</v>
      </c>
      <c r="K2051" s="4">
        <v>43709</v>
      </c>
      <c r="L2051" s="3">
        <v>0.57291666666666663</v>
      </c>
      <c r="M2051" s="1" t="s">
        <v>23</v>
      </c>
      <c r="N2051" s="1">
        <v>954.4</v>
      </c>
      <c r="O2051" s="1">
        <v>4.7619047620000003</v>
      </c>
      <c r="P2051" s="1">
        <v>47.72</v>
      </c>
      <c r="Q2051" s="1">
        <v>5.2</v>
      </c>
    </row>
    <row r="2052" spans="1:17" ht="12.5" x14ac:dyDescent="0.25">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ht="12.5" x14ac:dyDescent="0.25">
      <c r="A2053" s="1" t="s">
        <v>2140</v>
      </c>
      <c r="B2053" s="1" t="s">
        <v>18</v>
      </c>
      <c r="C2053" s="1" t="s">
        <v>19</v>
      </c>
      <c r="D2053" s="1" t="s">
        <v>20</v>
      </c>
      <c r="E2053" s="1" t="s">
        <v>29</v>
      </c>
      <c r="F2053" s="1"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row>
    <row r="2054" spans="1:17" ht="12.5" x14ac:dyDescent="0.25">
      <c r="A2054" s="1" t="s">
        <v>2141</v>
      </c>
      <c r="B2054" s="1" t="s">
        <v>18</v>
      </c>
      <c r="C2054" s="1" t="s">
        <v>19</v>
      </c>
      <c r="D2054" s="1" t="s">
        <v>20</v>
      </c>
      <c r="E2054" s="1" t="s">
        <v>21</v>
      </c>
      <c r="F2054" s="1" t="s">
        <v>30</v>
      </c>
      <c r="G2054" s="1">
        <v>97.21</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row>
    <row r="2055" spans="1:17" ht="12.5" x14ac:dyDescent="0.25">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ht="12.5" x14ac:dyDescent="0.25">
      <c r="A2056" s="1" t="s">
        <v>2143</v>
      </c>
      <c r="B2056" s="1" t="s">
        <v>54</v>
      </c>
      <c r="C2056" s="1" t="s">
        <v>25</v>
      </c>
      <c r="D2056" s="1" t="s">
        <v>28</v>
      </c>
      <c r="E2056" s="1" t="s">
        <v>29</v>
      </c>
      <c r="F2056" s="1"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row>
    <row r="2057" spans="1:17" ht="12.5" x14ac:dyDescent="0.25">
      <c r="A2057" s="1" t="s">
        <v>2144</v>
      </c>
      <c r="B2057" s="1" t="s">
        <v>33</v>
      </c>
      <c r="C2057" s="1" t="s">
        <v>25</v>
      </c>
      <c r="D2057" s="1" t="s">
        <v>28</v>
      </c>
      <c r="E2057" s="1" t="s">
        <v>29</v>
      </c>
      <c r="F2057" s="1"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row>
    <row r="2058" spans="1:17" ht="12.5" x14ac:dyDescent="0.25">
      <c r="A2058" s="1" t="s">
        <v>2145</v>
      </c>
      <c r="B2058" s="1" t="s">
        <v>18</v>
      </c>
      <c r="C2058" s="1" t="s">
        <v>19</v>
      </c>
      <c r="D2058" s="1" t="s">
        <v>28</v>
      </c>
      <c r="E2058" s="1" t="s">
        <v>21</v>
      </c>
      <c r="F2058" s="1" t="s">
        <v>44</v>
      </c>
      <c r="G2058" s="1">
        <v>97.5</v>
      </c>
      <c r="H2058" s="1">
        <v>10</v>
      </c>
      <c r="I2058" s="1">
        <v>48.75</v>
      </c>
      <c r="J2058" s="1">
        <v>1023.75</v>
      </c>
      <c r="K2058" s="4">
        <v>43800</v>
      </c>
      <c r="L2058" s="3">
        <v>0.6791666666666667</v>
      </c>
      <c r="M2058" s="1" t="s">
        <v>40</v>
      </c>
      <c r="N2058" s="1">
        <v>975</v>
      </c>
      <c r="O2058" s="1">
        <v>4.7619047620000003</v>
      </c>
      <c r="P2058" s="1">
        <v>48.75</v>
      </c>
      <c r="Q2058" s="1">
        <v>8</v>
      </c>
    </row>
    <row r="2059" spans="1:17" ht="12.5" x14ac:dyDescent="0.25">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ht="12.5" x14ac:dyDescent="0.25">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ht="12.5" x14ac:dyDescent="0.25">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ht="12.5" x14ac:dyDescent="0.25">
      <c r="A2062" s="1" t="s">
        <v>2149</v>
      </c>
      <c r="B2062" s="1" t="s">
        <v>33</v>
      </c>
      <c r="C2062" s="1" t="s">
        <v>27</v>
      </c>
      <c r="D2062" s="1" t="s">
        <v>28</v>
      </c>
      <c r="E2062" s="1" t="s">
        <v>21</v>
      </c>
      <c r="F2062" s="1"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row>
    <row r="2063" spans="1:17" ht="12.5" x14ac:dyDescent="0.25">
      <c r="A2063" s="1" t="s">
        <v>2150</v>
      </c>
      <c r="B2063" s="1" t="s">
        <v>33</v>
      </c>
      <c r="C2063" s="1" t="s">
        <v>27</v>
      </c>
      <c r="D2063" s="1" t="s">
        <v>28</v>
      </c>
      <c r="E2063" s="1" t="s">
        <v>21</v>
      </c>
      <c r="F2063" s="1" t="s">
        <v>30</v>
      </c>
      <c r="G2063" s="1">
        <v>98.98</v>
      </c>
      <c r="H2063" s="1">
        <v>10</v>
      </c>
      <c r="I2063" s="1">
        <v>49.49</v>
      </c>
      <c r="J2063" s="1">
        <v>1039.29</v>
      </c>
      <c r="K2063" s="4">
        <v>43679</v>
      </c>
      <c r="L2063" s="3">
        <v>0.68055555555555558</v>
      </c>
      <c r="M2063" s="1" t="s">
        <v>48</v>
      </c>
      <c r="N2063" s="1">
        <v>989.8</v>
      </c>
      <c r="O2063" s="1">
        <v>4.7619047620000003</v>
      </c>
      <c r="P2063" s="1">
        <v>49.49</v>
      </c>
      <c r="Q2063" s="1">
        <v>18</v>
      </c>
    </row>
    <row r="2064" spans="1:17" ht="12.5" x14ac:dyDescent="0.25">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ht="12.5" x14ac:dyDescent="0.25">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1E57-F0D0-4CBD-A553-78C71E9330CC}">
  <dimension ref="B4:M142"/>
  <sheetViews>
    <sheetView topLeftCell="B1" zoomScale="84" workbookViewId="0">
      <selection activeCell="W34" sqref="W34"/>
    </sheetView>
  </sheetViews>
  <sheetFormatPr defaultRowHeight="12.5" x14ac:dyDescent="0.25"/>
  <cols>
    <col min="2" max="2" width="19.1796875" bestFit="1" customWidth="1"/>
    <col min="3" max="3" width="11.81640625" bestFit="1" customWidth="1"/>
    <col min="6" max="6" width="19.1796875" bestFit="1" customWidth="1"/>
    <col min="7" max="7" width="15.26953125" bestFit="1" customWidth="1"/>
    <col min="8" max="9" width="11.81640625" bestFit="1" customWidth="1"/>
    <col min="11" max="11" width="16.36328125" bestFit="1" customWidth="1"/>
    <col min="12" max="12" width="11.81640625" bestFit="1" customWidth="1"/>
    <col min="13" max="13" width="12.6328125" bestFit="1" customWidth="1"/>
  </cols>
  <sheetData>
    <row r="4" spans="2:12" x14ac:dyDescent="0.25">
      <c r="B4" s="11" t="s">
        <v>2153</v>
      </c>
      <c r="C4" s="12" t="s">
        <v>2155</v>
      </c>
      <c r="F4" s="11" t="s">
        <v>2153</v>
      </c>
      <c r="G4" s="12" t="s">
        <v>2156</v>
      </c>
      <c r="K4" s="11" t="s">
        <v>2153</v>
      </c>
      <c r="L4" s="12" t="s">
        <v>2155</v>
      </c>
    </row>
    <row r="5" spans="2:12" x14ac:dyDescent="0.25">
      <c r="B5" s="13" t="s">
        <v>25</v>
      </c>
      <c r="C5" s="12">
        <v>323677.21050000004</v>
      </c>
      <c r="F5" s="13" t="s">
        <v>84</v>
      </c>
      <c r="G5" s="12">
        <v>5634.5159999999933</v>
      </c>
      <c r="K5" s="13" t="s">
        <v>2165</v>
      </c>
      <c r="L5" s="12">
        <v>62787.154500000011</v>
      </c>
    </row>
    <row r="6" spans="2:12" x14ac:dyDescent="0.25">
      <c r="B6" s="14" t="s">
        <v>19</v>
      </c>
      <c r="C6" s="25">
        <v>207461.37299999976</v>
      </c>
      <c r="F6" s="14" t="s">
        <v>30</v>
      </c>
      <c r="G6" s="25">
        <v>4279.9534999999996</v>
      </c>
      <c r="K6" s="14" t="s">
        <v>2166</v>
      </c>
      <c r="L6" s="25">
        <v>61748.284499999943</v>
      </c>
    </row>
    <row r="7" spans="2:12" x14ac:dyDescent="0.25">
      <c r="B7" s="14" t="s">
        <v>27</v>
      </c>
      <c r="C7" s="25">
        <v>128133.894</v>
      </c>
      <c r="F7" s="14" t="s">
        <v>39</v>
      </c>
      <c r="G7" s="25">
        <v>10483.54850000001</v>
      </c>
      <c r="K7" s="14" t="s">
        <v>2167</v>
      </c>
      <c r="L7" s="25">
        <v>51096.769500000002</v>
      </c>
    </row>
    <row r="8" spans="2:12" x14ac:dyDescent="0.25">
      <c r="B8" s="15" t="s">
        <v>2154</v>
      </c>
      <c r="C8" s="22">
        <v>659272.4774999998</v>
      </c>
      <c r="F8" s="14" t="s">
        <v>55</v>
      </c>
      <c r="G8" s="25">
        <v>2815.6970000000006</v>
      </c>
      <c r="K8" s="14" t="s">
        <v>2159</v>
      </c>
      <c r="L8" s="25">
        <v>62859.300000000032</v>
      </c>
    </row>
    <row r="9" spans="2:12" x14ac:dyDescent="0.25">
      <c r="F9" s="14" t="s">
        <v>44</v>
      </c>
      <c r="G9" s="25">
        <v>3292.933</v>
      </c>
      <c r="K9" s="14" t="s">
        <v>2160</v>
      </c>
      <c r="L9" s="25">
        <v>64323.178500000002</v>
      </c>
    </row>
    <row r="10" spans="2:12" x14ac:dyDescent="0.25">
      <c r="B10" s="11" t="s">
        <v>2153</v>
      </c>
      <c r="C10" s="12" t="s">
        <v>2155</v>
      </c>
      <c r="F10" s="14" t="s">
        <v>22</v>
      </c>
      <c r="G10" s="25">
        <v>4887.2794999999969</v>
      </c>
      <c r="K10" s="14" t="s">
        <v>2161</v>
      </c>
      <c r="L10" s="25">
        <v>67761.613500000021</v>
      </c>
    </row>
    <row r="11" spans="2:12" x14ac:dyDescent="0.25">
      <c r="B11" s="13" t="s">
        <v>18</v>
      </c>
      <c r="C11" s="12">
        <v>347755.81050000031</v>
      </c>
      <c r="F11" s="15" t="s">
        <v>2154</v>
      </c>
      <c r="G11" s="22">
        <v>31393.927500000002</v>
      </c>
      <c r="K11" s="14" t="s">
        <v>2168</v>
      </c>
      <c r="L11" s="25">
        <v>50664.725999999973</v>
      </c>
    </row>
    <row r="12" spans="2:12" x14ac:dyDescent="0.25">
      <c r="B12" s="14" t="s">
        <v>33</v>
      </c>
      <c r="C12" s="25">
        <v>169948.96799999985</v>
      </c>
      <c r="K12" s="14" t="s">
        <v>2169</v>
      </c>
      <c r="L12" s="25">
        <v>45592.007999999987</v>
      </c>
    </row>
    <row r="13" spans="2:12" x14ac:dyDescent="0.25">
      <c r="B13" s="14" t="s">
        <v>54</v>
      </c>
      <c r="C13" s="25">
        <v>141567.69899999994</v>
      </c>
      <c r="F13" s="11" t="s">
        <v>2153</v>
      </c>
      <c r="G13" s="12" t="s">
        <v>2155</v>
      </c>
      <c r="K13" s="14" t="s">
        <v>2162</v>
      </c>
      <c r="L13" s="25">
        <v>61960.132500000007</v>
      </c>
    </row>
    <row r="14" spans="2:12" x14ac:dyDescent="0.25">
      <c r="B14" s="15" t="s">
        <v>2154</v>
      </c>
      <c r="C14" s="22">
        <v>659272.47750000004</v>
      </c>
      <c r="F14" s="13" t="s">
        <v>20</v>
      </c>
      <c r="G14" s="12">
        <v>310127.82149999967</v>
      </c>
      <c r="K14" s="14" t="s">
        <v>2170</v>
      </c>
      <c r="L14" s="25">
        <v>80863.681500000108</v>
      </c>
    </row>
    <row r="15" spans="2:12" x14ac:dyDescent="0.25">
      <c r="F15" s="14" t="s">
        <v>28</v>
      </c>
      <c r="G15" s="25">
        <v>349144.65600000054</v>
      </c>
      <c r="K15" s="14" t="s">
        <v>2164</v>
      </c>
      <c r="L15" s="25">
        <v>49615.628999999986</v>
      </c>
    </row>
    <row r="16" spans="2:12" x14ac:dyDescent="0.25">
      <c r="B16" s="11" t="s">
        <v>2153</v>
      </c>
      <c r="C16" s="12" t="s">
        <v>2155</v>
      </c>
      <c r="F16" s="15" t="s">
        <v>2154</v>
      </c>
      <c r="G16" s="22">
        <v>659272.47750000027</v>
      </c>
      <c r="K16" s="15" t="s">
        <v>2154</v>
      </c>
      <c r="L16" s="22">
        <v>659272.47749999992</v>
      </c>
    </row>
    <row r="17" spans="2:13" x14ac:dyDescent="0.25">
      <c r="B17" s="13" t="s">
        <v>373</v>
      </c>
      <c r="C17" s="12">
        <v>5582.0520000000006</v>
      </c>
    </row>
    <row r="18" spans="2:13" x14ac:dyDescent="0.25">
      <c r="B18" s="14" t="s">
        <v>56</v>
      </c>
      <c r="C18" s="25">
        <v>10594.762500000001</v>
      </c>
      <c r="F18" s="11" t="s">
        <v>2155</v>
      </c>
      <c r="G18" s="11" t="s">
        <v>2157</v>
      </c>
      <c r="H18" s="26"/>
      <c r="I18" s="6"/>
    </row>
    <row r="19" spans="2:13" x14ac:dyDescent="0.25">
      <c r="B19" s="14" t="s">
        <v>309</v>
      </c>
      <c r="C19" s="25">
        <v>10700.896500000001</v>
      </c>
      <c r="F19" s="11" t="s">
        <v>2153</v>
      </c>
      <c r="G19" s="5" t="s">
        <v>29</v>
      </c>
      <c r="H19" s="27" t="s">
        <v>21</v>
      </c>
      <c r="I19" s="12" t="s">
        <v>2154</v>
      </c>
      <c r="K19" s="12" t="s">
        <v>2163</v>
      </c>
      <c r="M19" s="7" t="s">
        <v>2153</v>
      </c>
    </row>
    <row r="20" spans="2:13" x14ac:dyDescent="0.25">
      <c r="B20" s="14" t="s">
        <v>119</v>
      </c>
      <c r="C20" s="25">
        <v>11166.057000000003</v>
      </c>
      <c r="F20" s="13" t="s">
        <v>84</v>
      </c>
      <c r="G20" s="5">
        <v>20013.273000000008</v>
      </c>
      <c r="H20" s="27">
        <v>98311.563000000097</v>
      </c>
      <c r="I20" s="12">
        <v>118324.8360000001</v>
      </c>
      <c r="K20" s="22">
        <v>2064</v>
      </c>
      <c r="M20" s="8" t="s">
        <v>373</v>
      </c>
    </row>
    <row r="21" spans="2:13" x14ac:dyDescent="0.25">
      <c r="B21" s="14" t="s">
        <v>394</v>
      </c>
      <c r="C21" s="25">
        <v>6764.3729999999996</v>
      </c>
      <c r="F21" s="14" t="s">
        <v>30</v>
      </c>
      <c r="G21" s="29">
        <v>26560.401000000005</v>
      </c>
      <c r="H21" s="31">
        <v>63318.62249999999</v>
      </c>
      <c r="I21" s="25">
        <v>89879.023499999996</v>
      </c>
      <c r="M21" s="9" t="s">
        <v>56</v>
      </c>
    </row>
    <row r="22" spans="2:13" x14ac:dyDescent="0.25">
      <c r="B22" s="14" t="s">
        <v>163</v>
      </c>
      <c r="C22" s="25">
        <v>6810.6989999999987</v>
      </c>
      <c r="F22" s="14" t="s">
        <v>39</v>
      </c>
      <c r="G22" s="29">
        <v>78258.768000000025</v>
      </c>
      <c r="H22" s="31">
        <v>141895.75050000014</v>
      </c>
      <c r="I22" s="25">
        <v>220154.51850000018</v>
      </c>
      <c r="M22" s="9" t="s">
        <v>309</v>
      </c>
    </row>
    <row r="23" spans="2:13" x14ac:dyDescent="0.25">
      <c r="B23" s="14" t="s">
        <v>142</v>
      </c>
      <c r="C23" s="25">
        <v>9709.2345000000041</v>
      </c>
      <c r="F23" s="14" t="s">
        <v>55</v>
      </c>
      <c r="G23" s="29">
        <v>12766.813500000002</v>
      </c>
      <c r="H23" s="31">
        <v>46362.823499999991</v>
      </c>
      <c r="I23" s="25">
        <v>59129.636999999995</v>
      </c>
      <c r="K23" s="19">
        <f>GETPIVOTDATA("Total",'pivot table'!$F$13)</f>
        <v>659272.47750000027</v>
      </c>
      <c r="M23" s="9" t="s">
        <v>119</v>
      </c>
    </row>
    <row r="24" spans="2:13" x14ac:dyDescent="0.25">
      <c r="B24" s="14" t="s">
        <v>581</v>
      </c>
      <c r="C24" s="25">
        <v>5097.4350000000004</v>
      </c>
      <c r="F24" s="14" t="s">
        <v>44</v>
      </c>
      <c r="G24" s="29">
        <v>28521.0975</v>
      </c>
      <c r="H24" s="31">
        <v>40630.495499999997</v>
      </c>
      <c r="I24" s="25">
        <v>69151.592999999993</v>
      </c>
      <c r="K24" s="20">
        <f>GETPIVOTDATA("gross income",$F$4)</f>
        <v>31393.927500000002</v>
      </c>
      <c r="M24" s="9" t="s">
        <v>394</v>
      </c>
    </row>
    <row r="25" spans="2:13" x14ac:dyDescent="0.25">
      <c r="B25" s="14" t="s">
        <v>314</v>
      </c>
      <c r="C25" s="25">
        <v>3167.7345</v>
      </c>
      <c r="F25" s="14" t="s">
        <v>22</v>
      </c>
      <c r="G25" s="29">
        <v>23975.216999999997</v>
      </c>
      <c r="H25" s="31">
        <v>78657.652500000026</v>
      </c>
      <c r="I25" s="25">
        <v>102632.86950000003</v>
      </c>
      <c r="K25">
        <f>GETPIVOTDATA("Invoice ID",$K$19)</f>
        <v>2064</v>
      </c>
      <c r="M25" s="9" t="s">
        <v>163</v>
      </c>
    </row>
    <row r="26" spans="2:13" x14ac:dyDescent="0.25">
      <c r="B26" s="14" t="s">
        <v>429</v>
      </c>
      <c r="C26" s="25">
        <v>2561.9160000000002</v>
      </c>
      <c r="F26" s="15" t="s">
        <v>2154</v>
      </c>
      <c r="G26" s="23">
        <v>190095.57000000004</v>
      </c>
      <c r="H26" s="28">
        <v>469176.90750000026</v>
      </c>
      <c r="I26" s="22">
        <v>659272.47750000027</v>
      </c>
      <c r="K26" s="21">
        <f>GETPIVOTDATA("Rating",$F$28)</f>
        <v>7.1983527131782949</v>
      </c>
      <c r="M26" s="9" t="s">
        <v>142</v>
      </c>
    </row>
    <row r="27" spans="2:13" x14ac:dyDescent="0.25">
      <c r="B27" s="14" t="s">
        <v>109</v>
      </c>
      <c r="C27" s="25">
        <v>9369.1394999999993</v>
      </c>
      <c r="M27" s="9" t="s">
        <v>581</v>
      </c>
    </row>
    <row r="28" spans="2:13" x14ac:dyDescent="0.25">
      <c r="B28" s="14" t="s">
        <v>264</v>
      </c>
      <c r="C28" s="25">
        <v>12614.132999999998</v>
      </c>
      <c r="F28" s="11" t="s">
        <v>2153</v>
      </c>
      <c r="G28" s="12" t="s">
        <v>2158</v>
      </c>
      <c r="M28" s="9" t="s">
        <v>314</v>
      </c>
    </row>
    <row r="29" spans="2:13" x14ac:dyDescent="0.25">
      <c r="B29" s="14" t="s">
        <v>47</v>
      </c>
      <c r="C29" s="25">
        <v>9788.3625000000011</v>
      </c>
      <c r="F29" s="13" t="s">
        <v>84</v>
      </c>
      <c r="G29" s="12">
        <v>7.160052910052908</v>
      </c>
      <c r="M29" s="9" t="s">
        <v>429</v>
      </c>
    </row>
    <row r="30" spans="2:13" x14ac:dyDescent="0.25">
      <c r="B30" s="14" t="s">
        <v>31</v>
      </c>
      <c r="C30" s="25">
        <v>10109.431500000001</v>
      </c>
      <c r="F30" s="14" t="s">
        <v>30</v>
      </c>
      <c r="G30" s="25">
        <v>7.2910000000000066</v>
      </c>
      <c r="M30" s="9" t="s">
        <v>109</v>
      </c>
    </row>
    <row r="31" spans="2:13" x14ac:dyDescent="0.25">
      <c r="B31" s="14" t="s">
        <v>78</v>
      </c>
      <c r="C31" s="25">
        <v>10172.778000000002</v>
      </c>
      <c r="F31" s="14" t="s">
        <v>39</v>
      </c>
      <c r="G31" s="25">
        <v>7.1961756373937673</v>
      </c>
      <c r="M31" s="9" t="s">
        <v>264</v>
      </c>
    </row>
    <row r="32" spans="2:13" x14ac:dyDescent="0.25">
      <c r="B32" s="14" t="s">
        <v>62</v>
      </c>
      <c r="C32" s="25">
        <v>7605.9795000000013</v>
      </c>
      <c r="F32" s="14" t="s">
        <v>55</v>
      </c>
      <c r="G32" s="25">
        <v>7.1598837209302326</v>
      </c>
      <c r="M32" s="9" t="s">
        <v>47</v>
      </c>
    </row>
    <row r="33" spans="2:13" x14ac:dyDescent="0.25">
      <c r="B33" s="14" t="s">
        <v>154</v>
      </c>
      <c r="C33" s="25">
        <v>7109.7705000000005</v>
      </c>
      <c r="F33" s="14" t="s">
        <v>44</v>
      </c>
      <c r="G33" s="25">
        <v>7.0912371134020624</v>
      </c>
      <c r="M33" s="9" t="s">
        <v>31</v>
      </c>
    </row>
    <row r="34" spans="2:13" x14ac:dyDescent="0.25">
      <c r="B34" s="14" t="s">
        <v>70</v>
      </c>
      <c r="C34" s="25">
        <v>6636.2835000000005</v>
      </c>
      <c r="F34" s="14" t="s">
        <v>22</v>
      </c>
      <c r="G34" s="25">
        <v>7.2480891719745228</v>
      </c>
      <c r="M34" s="9" t="s">
        <v>78</v>
      </c>
    </row>
    <row r="35" spans="2:13" x14ac:dyDescent="0.25">
      <c r="B35" s="14" t="s">
        <v>294</v>
      </c>
      <c r="C35" s="25">
        <v>9110.4719999999979</v>
      </c>
      <c r="F35" s="15" t="s">
        <v>2154</v>
      </c>
      <c r="G35" s="22">
        <v>7.1983527131782949</v>
      </c>
      <c r="M35" s="9" t="s">
        <v>62</v>
      </c>
    </row>
    <row r="36" spans="2:13" x14ac:dyDescent="0.25">
      <c r="B36" s="14" t="s">
        <v>100</v>
      </c>
      <c r="C36" s="25">
        <v>2345.2064999999998</v>
      </c>
      <c r="M36" s="9" t="s">
        <v>154</v>
      </c>
    </row>
    <row r="37" spans="2:13" x14ac:dyDescent="0.25">
      <c r="B37" s="14" t="s">
        <v>504</v>
      </c>
      <c r="C37" s="25">
        <v>6008.089500000001</v>
      </c>
      <c r="F37" s="11" t="s">
        <v>2153</v>
      </c>
      <c r="G37" s="12" t="s">
        <v>2156</v>
      </c>
      <c r="M37" s="9" t="s">
        <v>70</v>
      </c>
    </row>
    <row r="38" spans="2:13" x14ac:dyDescent="0.25">
      <c r="B38" s="14" t="s">
        <v>370</v>
      </c>
      <c r="C38" s="25">
        <v>12570.578999999998</v>
      </c>
      <c r="F38" s="13" t="s">
        <v>27</v>
      </c>
      <c r="G38" s="12">
        <v>6101.6139999999968</v>
      </c>
      <c r="M38" s="9" t="s">
        <v>294</v>
      </c>
    </row>
    <row r="39" spans="2:13" x14ac:dyDescent="0.25">
      <c r="B39" s="14" t="s">
        <v>256</v>
      </c>
      <c r="C39" s="25">
        <v>5177.8230000000003</v>
      </c>
      <c r="F39" s="14" t="s">
        <v>19</v>
      </c>
      <c r="G39" s="25">
        <v>9879.1130000000012</v>
      </c>
      <c r="M39" s="9" t="s">
        <v>100</v>
      </c>
    </row>
    <row r="40" spans="2:13" x14ac:dyDescent="0.25">
      <c r="B40" s="14" t="s">
        <v>252</v>
      </c>
      <c r="C40" s="25">
        <v>10965.160500000002</v>
      </c>
      <c r="F40" s="14" t="s">
        <v>25</v>
      </c>
      <c r="G40" s="25">
        <v>15413.200500000014</v>
      </c>
      <c r="M40" s="9" t="s">
        <v>504</v>
      </c>
    </row>
    <row r="41" spans="2:13" x14ac:dyDescent="0.25">
      <c r="B41" s="14" t="s">
        <v>98</v>
      </c>
      <c r="C41" s="25">
        <v>2321.8755000000001</v>
      </c>
      <c r="F41" s="15" t="s">
        <v>2154</v>
      </c>
      <c r="G41" s="22">
        <v>31393.927500000013</v>
      </c>
      <c r="M41" s="9" t="s">
        <v>370</v>
      </c>
    </row>
    <row r="42" spans="2:13" x14ac:dyDescent="0.25">
      <c r="B42" s="14" t="s">
        <v>839</v>
      </c>
      <c r="C42" s="25">
        <v>10916.629499999999</v>
      </c>
      <c r="M42" s="9" t="s">
        <v>256</v>
      </c>
    </row>
    <row r="43" spans="2:13" x14ac:dyDescent="0.25">
      <c r="B43" s="14" t="s">
        <v>380</v>
      </c>
      <c r="C43" s="25">
        <v>5481.2624999999998</v>
      </c>
      <c r="F43" s="11" t="s">
        <v>2153</v>
      </c>
      <c r="G43" s="5" t="s">
        <v>2155</v>
      </c>
      <c r="H43" s="18" t="s">
        <v>2156</v>
      </c>
      <c r="M43" s="9" t="s">
        <v>252</v>
      </c>
    </row>
    <row r="44" spans="2:13" x14ac:dyDescent="0.25">
      <c r="B44" s="14" t="s">
        <v>37</v>
      </c>
      <c r="C44" s="25">
        <v>2649.8325</v>
      </c>
      <c r="F44" s="13" t="s">
        <v>84</v>
      </c>
      <c r="G44" s="5">
        <v>118324.83600000011</v>
      </c>
      <c r="H44" s="18">
        <v>5634.5159999999933</v>
      </c>
      <c r="M44" s="9" t="s">
        <v>98</v>
      </c>
    </row>
    <row r="45" spans="2:13" x14ac:dyDescent="0.25">
      <c r="B45" s="14" t="s">
        <v>87</v>
      </c>
      <c r="C45" s="25">
        <v>5904.7904999999992</v>
      </c>
      <c r="F45" s="14" t="s">
        <v>30</v>
      </c>
      <c r="G45" s="29">
        <v>89879.023499999967</v>
      </c>
      <c r="H45" s="30">
        <v>4279.9534999999996</v>
      </c>
      <c r="M45" s="9" t="s">
        <v>839</v>
      </c>
    </row>
    <row r="46" spans="2:13" x14ac:dyDescent="0.25">
      <c r="B46" s="14" t="s">
        <v>146</v>
      </c>
      <c r="C46" s="25">
        <v>5684.0280000000012</v>
      </c>
      <c r="F46" s="14" t="s">
        <v>39</v>
      </c>
      <c r="G46" s="29">
        <v>220154.51849999995</v>
      </c>
      <c r="H46" s="30">
        <v>10483.54850000001</v>
      </c>
      <c r="M46" s="9" t="s">
        <v>380</v>
      </c>
    </row>
    <row r="47" spans="2:13" x14ac:dyDescent="0.25">
      <c r="B47" s="14" t="s">
        <v>213</v>
      </c>
      <c r="C47" s="25">
        <v>5220.0119999999997</v>
      </c>
      <c r="F47" s="14" t="s">
        <v>55</v>
      </c>
      <c r="G47" s="29">
        <v>59129.637000000002</v>
      </c>
      <c r="H47" s="30">
        <v>2815.6970000000006</v>
      </c>
      <c r="M47" s="9" t="s">
        <v>37</v>
      </c>
    </row>
    <row r="48" spans="2:13" x14ac:dyDescent="0.25">
      <c r="B48" s="14" t="s">
        <v>168</v>
      </c>
      <c r="C48" s="25">
        <v>10678.835999999999</v>
      </c>
      <c r="F48" s="14" t="s">
        <v>44</v>
      </c>
      <c r="G48" s="29">
        <v>69151.592999999993</v>
      </c>
      <c r="H48" s="30">
        <v>3292.933</v>
      </c>
      <c r="M48" s="9" t="s">
        <v>87</v>
      </c>
    </row>
    <row r="49" spans="2:13" x14ac:dyDescent="0.25">
      <c r="B49" s="14" t="s">
        <v>241</v>
      </c>
      <c r="C49" s="25">
        <v>5697.6989999999996</v>
      </c>
      <c r="F49" s="14" t="s">
        <v>22</v>
      </c>
      <c r="G49" s="29">
        <v>102632.8695</v>
      </c>
      <c r="H49" s="30">
        <v>4887.2794999999969</v>
      </c>
      <c r="M49" s="9" t="s">
        <v>146</v>
      </c>
    </row>
    <row r="50" spans="2:13" x14ac:dyDescent="0.25">
      <c r="B50" s="14" t="s">
        <v>182</v>
      </c>
      <c r="C50" s="25">
        <v>11414.665500000003</v>
      </c>
      <c r="F50" s="15" t="s">
        <v>2154</v>
      </c>
      <c r="G50" s="23">
        <v>659272.47750000004</v>
      </c>
      <c r="H50" s="24">
        <v>31393.927500000002</v>
      </c>
      <c r="M50" s="9" t="s">
        <v>213</v>
      </c>
    </row>
    <row r="51" spans="2:13" x14ac:dyDescent="0.25">
      <c r="B51" s="14" t="s">
        <v>260</v>
      </c>
      <c r="C51" s="25">
        <v>6014.0010000000002</v>
      </c>
      <c r="M51" s="9" t="s">
        <v>168</v>
      </c>
    </row>
    <row r="52" spans="2:13" x14ac:dyDescent="0.25">
      <c r="B52" s="14" t="s">
        <v>248</v>
      </c>
      <c r="C52" s="25">
        <v>3782.9820000000004</v>
      </c>
      <c r="F52" s="11" t="s">
        <v>2153</v>
      </c>
      <c r="G52" s="12" t="s">
        <v>2155</v>
      </c>
      <c r="M52" s="9" t="s">
        <v>241</v>
      </c>
    </row>
    <row r="53" spans="2:13" x14ac:dyDescent="0.25">
      <c r="B53" s="14" t="s">
        <v>179</v>
      </c>
      <c r="C53" s="25">
        <v>17304.304499999998</v>
      </c>
      <c r="F53" s="13" t="s">
        <v>373</v>
      </c>
      <c r="G53" s="12">
        <v>5582.0520000000006</v>
      </c>
      <c r="M53" s="9" t="s">
        <v>182</v>
      </c>
    </row>
    <row r="54" spans="2:13" x14ac:dyDescent="0.25">
      <c r="B54" s="14" t="s">
        <v>238</v>
      </c>
      <c r="C54" s="25">
        <v>5646.7740000000013</v>
      </c>
      <c r="F54" s="14" t="s">
        <v>56</v>
      </c>
      <c r="G54" s="25">
        <v>10594.762500000001</v>
      </c>
      <c r="M54" s="9" t="s">
        <v>260</v>
      </c>
    </row>
    <row r="55" spans="2:13" x14ac:dyDescent="0.25">
      <c r="B55" s="14" t="s">
        <v>116</v>
      </c>
      <c r="C55" s="25">
        <v>7265.2965000000004</v>
      </c>
      <c r="F55" s="14" t="s">
        <v>309</v>
      </c>
      <c r="G55" s="25">
        <v>10700.896500000001</v>
      </c>
      <c r="M55" s="9" t="s">
        <v>248</v>
      </c>
    </row>
    <row r="56" spans="2:13" x14ac:dyDescent="0.25">
      <c r="B56" s="14" t="s">
        <v>73</v>
      </c>
      <c r="C56" s="25">
        <v>3887.7719999999995</v>
      </c>
      <c r="F56" s="14" t="s">
        <v>119</v>
      </c>
      <c r="G56" s="25">
        <v>11166.057000000003</v>
      </c>
      <c r="M56" s="9" t="s">
        <v>179</v>
      </c>
    </row>
    <row r="57" spans="2:13" x14ac:dyDescent="0.25">
      <c r="B57" s="14" t="s">
        <v>217</v>
      </c>
      <c r="C57" s="25">
        <v>2763.2429999999999</v>
      </c>
      <c r="F57" s="14" t="s">
        <v>394</v>
      </c>
      <c r="G57" s="25">
        <v>6764.3729999999996</v>
      </c>
      <c r="M57" s="9" t="s">
        <v>238</v>
      </c>
    </row>
    <row r="58" spans="2:13" x14ac:dyDescent="0.25">
      <c r="B58" s="14" t="s">
        <v>50</v>
      </c>
      <c r="C58" s="25">
        <v>9058.0455000000002</v>
      </c>
      <c r="F58" s="14" t="s">
        <v>163</v>
      </c>
      <c r="G58" s="25">
        <v>6810.6989999999987</v>
      </c>
      <c r="M58" s="9" t="s">
        <v>116</v>
      </c>
    </row>
    <row r="59" spans="2:13" x14ac:dyDescent="0.25">
      <c r="B59" s="14" t="s">
        <v>135</v>
      </c>
      <c r="C59" s="25">
        <v>11159.746499999999</v>
      </c>
      <c r="F59" s="14" t="s">
        <v>142</v>
      </c>
      <c r="G59" s="25">
        <v>9709.2345000000041</v>
      </c>
      <c r="M59" s="9" t="s">
        <v>73</v>
      </c>
    </row>
    <row r="60" spans="2:13" x14ac:dyDescent="0.25">
      <c r="B60" s="14" t="s">
        <v>408</v>
      </c>
      <c r="C60" s="25">
        <v>5155.4369999999999</v>
      </c>
      <c r="F60" s="14" t="s">
        <v>581</v>
      </c>
      <c r="G60" s="25">
        <v>5097.4350000000004</v>
      </c>
      <c r="M60" s="9" t="s">
        <v>217</v>
      </c>
    </row>
    <row r="61" spans="2:13" x14ac:dyDescent="0.25">
      <c r="B61" s="14" t="s">
        <v>58</v>
      </c>
      <c r="C61" s="25">
        <v>6312.2534999999998</v>
      </c>
      <c r="F61" s="14" t="s">
        <v>314</v>
      </c>
      <c r="G61" s="25">
        <v>3167.7345</v>
      </c>
      <c r="M61" s="9" t="s">
        <v>50</v>
      </c>
    </row>
    <row r="62" spans="2:13" x14ac:dyDescent="0.25">
      <c r="B62" s="14" t="s">
        <v>82</v>
      </c>
      <c r="C62" s="25">
        <v>7718.2034999999996</v>
      </c>
      <c r="F62" s="14" t="s">
        <v>429</v>
      </c>
      <c r="G62" s="25">
        <v>2561.9160000000002</v>
      </c>
      <c r="M62" s="9" t="s">
        <v>135</v>
      </c>
    </row>
    <row r="63" spans="2:13" x14ac:dyDescent="0.25">
      <c r="B63" s="14" t="s">
        <v>358</v>
      </c>
      <c r="C63" s="25">
        <v>6319.0785000000005</v>
      </c>
      <c r="F63" s="14" t="s">
        <v>109</v>
      </c>
      <c r="G63" s="25">
        <v>9369.1394999999993</v>
      </c>
      <c r="M63" s="9" t="s">
        <v>408</v>
      </c>
    </row>
    <row r="64" spans="2:13" x14ac:dyDescent="0.25">
      <c r="B64" s="14" t="s">
        <v>201</v>
      </c>
      <c r="C64" s="25">
        <v>5465.3970000000008</v>
      </c>
      <c r="F64" s="14" t="s">
        <v>264</v>
      </c>
      <c r="G64" s="25">
        <v>12614.132999999998</v>
      </c>
      <c r="M64" s="9" t="s">
        <v>58</v>
      </c>
    </row>
    <row r="65" spans="2:13" x14ac:dyDescent="0.25">
      <c r="B65" s="14" t="s">
        <v>158</v>
      </c>
      <c r="C65" s="25">
        <v>3944.6295000000005</v>
      </c>
      <c r="F65" s="14" t="s">
        <v>47</v>
      </c>
      <c r="G65" s="25">
        <v>9788.3625000000011</v>
      </c>
      <c r="M65" s="9" t="s">
        <v>82</v>
      </c>
    </row>
    <row r="66" spans="2:13" x14ac:dyDescent="0.25">
      <c r="B66" s="14" t="s">
        <v>471</v>
      </c>
      <c r="C66" s="25">
        <v>5864.8905000000013</v>
      </c>
      <c r="F66" s="14" t="s">
        <v>31</v>
      </c>
      <c r="G66" s="25">
        <v>10109.431500000001</v>
      </c>
      <c r="M66" s="9" t="s">
        <v>358</v>
      </c>
    </row>
    <row r="67" spans="2:13" x14ac:dyDescent="0.25">
      <c r="B67" s="14" t="s">
        <v>321</v>
      </c>
      <c r="C67" s="25">
        <v>5264.2589999999991</v>
      </c>
      <c r="F67" s="14" t="s">
        <v>78</v>
      </c>
      <c r="G67" s="25">
        <v>10172.778000000002</v>
      </c>
      <c r="M67" s="9" t="s">
        <v>201</v>
      </c>
    </row>
    <row r="68" spans="2:13" x14ac:dyDescent="0.25">
      <c r="B68" s="14" t="s">
        <v>610</v>
      </c>
      <c r="C68" s="25">
        <v>6483.2985000000008</v>
      </c>
      <c r="F68" s="14" t="s">
        <v>62</v>
      </c>
      <c r="G68" s="25">
        <v>7605.9795000000013</v>
      </c>
      <c r="M68" s="9" t="s">
        <v>158</v>
      </c>
    </row>
    <row r="69" spans="2:13" x14ac:dyDescent="0.25">
      <c r="B69" s="14" t="s">
        <v>427</v>
      </c>
      <c r="C69" s="25">
        <v>8696.9399999999987</v>
      </c>
      <c r="F69" s="14" t="s">
        <v>154</v>
      </c>
      <c r="G69" s="25">
        <v>7109.7705000000005</v>
      </c>
      <c r="M69" s="9" t="s">
        <v>471</v>
      </c>
    </row>
    <row r="70" spans="2:13" x14ac:dyDescent="0.25">
      <c r="B70" s="17">
        <v>43466</v>
      </c>
      <c r="C70" s="25">
        <v>10991.168999999998</v>
      </c>
      <c r="F70" s="14" t="s">
        <v>70</v>
      </c>
      <c r="G70" s="25">
        <v>6636.2835000000005</v>
      </c>
      <c r="M70" s="9" t="s">
        <v>321</v>
      </c>
    </row>
    <row r="71" spans="2:13" x14ac:dyDescent="0.25">
      <c r="B71" s="17">
        <v>43467</v>
      </c>
      <c r="C71" s="25">
        <v>4240.4669999999996</v>
      </c>
      <c r="F71" s="14" t="s">
        <v>294</v>
      </c>
      <c r="G71" s="25">
        <v>9110.4719999999979</v>
      </c>
      <c r="M71" s="9" t="s">
        <v>610</v>
      </c>
    </row>
    <row r="72" spans="2:13" x14ac:dyDescent="0.25">
      <c r="B72" s="17">
        <v>43468</v>
      </c>
      <c r="C72" s="25">
        <v>5516.3849999999993</v>
      </c>
      <c r="F72" s="14" t="s">
        <v>100</v>
      </c>
      <c r="G72" s="25">
        <v>2345.2064999999998</v>
      </c>
      <c r="M72" s="9" t="s">
        <v>427</v>
      </c>
    </row>
    <row r="73" spans="2:13" x14ac:dyDescent="0.25">
      <c r="B73" s="17">
        <v>43497</v>
      </c>
      <c r="C73" s="25">
        <v>4525.1954999999998</v>
      </c>
      <c r="F73" s="14" t="s">
        <v>504</v>
      </c>
      <c r="G73" s="25">
        <v>6008.089500000001</v>
      </c>
      <c r="M73" s="16">
        <v>43466</v>
      </c>
    </row>
    <row r="74" spans="2:13" x14ac:dyDescent="0.25">
      <c r="B74" s="17">
        <v>43498</v>
      </c>
      <c r="C74" s="25">
        <v>10187.016</v>
      </c>
      <c r="F74" s="14" t="s">
        <v>370</v>
      </c>
      <c r="G74" s="25">
        <v>12570.578999999998</v>
      </c>
      <c r="M74" s="16">
        <v>43467</v>
      </c>
    </row>
    <row r="75" spans="2:13" x14ac:dyDescent="0.25">
      <c r="B75" s="17">
        <v>43499</v>
      </c>
      <c r="C75" s="25">
        <v>13066.578</v>
      </c>
      <c r="F75" s="14" t="s">
        <v>256</v>
      </c>
      <c r="G75" s="25">
        <v>5177.8230000000003</v>
      </c>
      <c r="M75" s="16">
        <v>43468</v>
      </c>
    </row>
    <row r="76" spans="2:13" x14ac:dyDescent="0.25">
      <c r="B76" s="17">
        <v>43525</v>
      </c>
      <c r="C76" s="25">
        <v>2750.4750000000004</v>
      </c>
      <c r="F76" s="14" t="s">
        <v>252</v>
      </c>
      <c r="G76" s="25">
        <v>10965.160500000002</v>
      </c>
      <c r="M76" s="16">
        <v>43497</v>
      </c>
    </row>
    <row r="77" spans="2:13" x14ac:dyDescent="0.25">
      <c r="B77" s="17">
        <v>43526</v>
      </c>
      <c r="C77" s="25">
        <v>12943.717500000002</v>
      </c>
      <c r="F77" s="14" t="s">
        <v>98</v>
      </c>
      <c r="G77" s="25">
        <v>2321.8755000000001</v>
      </c>
      <c r="M77" s="16">
        <v>43498</v>
      </c>
    </row>
    <row r="78" spans="2:13" x14ac:dyDescent="0.25">
      <c r="B78" s="17">
        <v>43527</v>
      </c>
      <c r="C78" s="25">
        <v>11465.054999999998</v>
      </c>
      <c r="F78" s="14" t="s">
        <v>839</v>
      </c>
      <c r="G78" s="25">
        <v>10916.629499999999</v>
      </c>
      <c r="M78" s="16">
        <v>43499</v>
      </c>
    </row>
    <row r="79" spans="2:13" x14ac:dyDescent="0.25">
      <c r="B79" s="17">
        <v>43556</v>
      </c>
      <c r="C79" s="25">
        <v>4175.356499999999</v>
      </c>
      <c r="F79" s="14" t="s">
        <v>380</v>
      </c>
      <c r="G79" s="25">
        <v>5481.2624999999998</v>
      </c>
      <c r="M79" s="16">
        <v>43525</v>
      </c>
    </row>
    <row r="80" spans="2:13" x14ac:dyDescent="0.25">
      <c r="B80" s="17">
        <v>43557</v>
      </c>
      <c r="C80" s="25">
        <v>5640.5370000000003</v>
      </c>
      <c r="F80" s="14" t="s">
        <v>37</v>
      </c>
      <c r="G80" s="25">
        <v>2649.8325</v>
      </c>
      <c r="M80" s="16">
        <v>43526</v>
      </c>
    </row>
    <row r="81" spans="2:13" x14ac:dyDescent="0.25">
      <c r="B81" s="17">
        <v>43558</v>
      </c>
      <c r="C81" s="25">
        <v>6523.1670000000004</v>
      </c>
      <c r="F81" s="14" t="s">
        <v>87</v>
      </c>
      <c r="G81" s="25">
        <v>5904.7904999999992</v>
      </c>
      <c r="M81" s="16">
        <v>43527</v>
      </c>
    </row>
    <row r="82" spans="2:13" x14ac:dyDescent="0.25">
      <c r="B82" s="17">
        <v>43586</v>
      </c>
      <c r="C82" s="25">
        <v>5317.3680000000004</v>
      </c>
      <c r="F82" s="14" t="s">
        <v>146</v>
      </c>
      <c r="G82" s="25">
        <v>5684.0280000000012</v>
      </c>
      <c r="M82" s="16">
        <v>43556</v>
      </c>
    </row>
    <row r="83" spans="2:13" x14ac:dyDescent="0.25">
      <c r="B83" s="17">
        <v>43587</v>
      </c>
      <c r="C83" s="25">
        <v>6431.5125000000007</v>
      </c>
      <c r="F83" s="14" t="s">
        <v>213</v>
      </c>
      <c r="G83" s="25">
        <v>5220.0119999999997</v>
      </c>
      <c r="M83" s="16">
        <v>43557</v>
      </c>
    </row>
    <row r="84" spans="2:13" x14ac:dyDescent="0.25">
      <c r="B84" s="17">
        <v>43588</v>
      </c>
      <c r="C84" s="25">
        <v>10237.205999999998</v>
      </c>
      <c r="F84" s="14" t="s">
        <v>168</v>
      </c>
      <c r="G84" s="25">
        <v>10678.835999999999</v>
      </c>
      <c r="M84" s="16">
        <v>43558</v>
      </c>
    </row>
    <row r="85" spans="2:13" x14ac:dyDescent="0.25">
      <c r="B85" s="17">
        <v>43617</v>
      </c>
      <c r="C85" s="25">
        <v>7151.8229999999994</v>
      </c>
      <c r="F85" s="14" t="s">
        <v>241</v>
      </c>
      <c r="G85" s="25">
        <v>5697.6989999999996</v>
      </c>
      <c r="M85" s="16">
        <v>43586</v>
      </c>
    </row>
    <row r="86" spans="2:13" x14ac:dyDescent="0.25">
      <c r="B86" s="17">
        <v>43618</v>
      </c>
      <c r="C86" s="25">
        <v>5887.6125000000002</v>
      </c>
      <c r="F86" s="14" t="s">
        <v>182</v>
      </c>
      <c r="G86" s="25">
        <v>11414.665500000003</v>
      </c>
      <c r="M86" s="16">
        <v>43587</v>
      </c>
    </row>
    <row r="87" spans="2:13" x14ac:dyDescent="0.25">
      <c r="B87" s="17">
        <v>43619</v>
      </c>
      <c r="C87" s="25">
        <v>4913.1914999999999</v>
      </c>
      <c r="F87" s="14" t="s">
        <v>260</v>
      </c>
      <c r="G87" s="25">
        <v>6014.0010000000002</v>
      </c>
      <c r="M87" s="16">
        <v>43588</v>
      </c>
    </row>
    <row r="88" spans="2:13" x14ac:dyDescent="0.25">
      <c r="B88" s="17">
        <v>43647</v>
      </c>
      <c r="C88" s="25">
        <v>4858.4970000000003</v>
      </c>
      <c r="F88" s="14" t="s">
        <v>248</v>
      </c>
      <c r="G88" s="25">
        <v>3782.9820000000004</v>
      </c>
      <c r="M88" s="16">
        <v>43617</v>
      </c>
    </row>
    <row r="89" spans="2:13" x14ac:dyDescent="0.25">
      <c r="B89" s="17">
        <v>43648</v>
      </c>
      <c r="C89" s="25">
        <v>15748.540499999999</v>
      </c>
      <c r="F89" s="14" t="s">
        <v>179</v>
      </c>
      <c r="G89" s="25">
        <v>17304.304499999998</v>
      </c>
      <c r="M89" s="16">
        <v>43618</v>
      </c>
    </row>
    <row r="90" spans="2:13" x14ac:dyDescent="0.25">
      <c r="B90" s="17">
        <v>43649</v>
      </c>
      <c r="C90" s="25">
        <v>3497.0880000000006</v>
      </c>
      <c r="F90" s="14" t="s">
        <v>238</v>
      </c>
      <c r="G90" s="25">
        <v>5646.7740000000013</v>
      </c>
      <c r="M90" s="16">
        <v>43619</v>
      </c>
    </row>
    <row r="91" spans="2:13" x14ac:dyDescent="0.25">
      <c r="B91" s="17">
        <v>43678</v>
      </c>
      <c r="C91" s="25">
        <v>13712.076000000001</v>
      </c>
      <c r="F91" s="14" t="s">
        <v>116</v>
      </c>
      <c r="G91" s="25">
        <v>7265.2965000000004</v>
      </c>
      <c r="M91" s="16">
        <v>43647</v>
      </c>
    </row>
    <row r="92" spans="2:13" x14ac:dyDescent="0.25">
      <c r="B92" s="17">
        <v>43679</v>
      </c>
      <c r="C92" s="25">
        <v>8884.5119999999988</v>
      </c>
      <c r="F92" s="14" t="s">
        <v>73</v>
      </c>
      <c r="G92" s="25">
        <v>3887.7719999999995</v>
      </c>
      <c r="M92" s="16">
        <v>43648</v>
      </c>
    </row>
    <row r="93" spans="2:13" x14ac:dyDescent="0.25">
      <c r="B93" s="17">
        <v>43680</v>
      </c>
      <c r="C93" s="25">
        <v>5702.2455</v>
      </c>
      <c r="F93" s="14" t="s">
        <v>217</v>
      </c>
      <c r="G93" s="25">
        <v>2763.2429999999999</v>
      </c>
      <c r="M93" s="16">
        <v>43649</v>
      </c>
    </row>
    <row r="94" spans="2:13" x14ac:dyDescent="0.25">
      <c r="B94" s="17">
        <v>43709</v>
      </c>
      <c r="C94" s="25">
        <v>5529.8144999999995</v>
      </c>
      <c r="F94" s="14" t="s">
        <v>50</v>
      </c>
      <c r="G94" s="25">
        <v>9058.0455000000002</v>
      </c>
      <c r="M94" s="16">
        <v>43678</v>
      </c>
    </row>
    <row r="95" spans="2:13" x14ac:dyDescent="0.25">
      <c r="B95" s="17">
        <v>43710</v>
      </c>
      <c r="C95" s="25">
        <v>6941.3399999999992</v>
      </c>
      <c r="F95" s="14" t="s">
        <v>135</v>
      </c>
      <c r="G95" s="25">
        <v>11159.746499999999</v>
      </c>
      <c r="M95" s="16">
        <v>43679</v>
      </c>
    </row>
    <row r="96" spans="2:13" x14ac:dyDescent="0.25">
      <c r="B96" s="17">
        <v>43711</v>
      </c>
      <c r="C96" s="25">
        <v>16000.477500000003</v>
      </c>
      <c r="F96" s="14" t="s">
        <v>408</v>
      </c>
      <c r="G96" s="25">
        <v>5155.4369999999999</v>
      </c>
      <c r="M96" s="16">
        <v>43680</v>
      </c>
    </row>
    <row r="97" spans="2:13" x14ac:dyDescent="0.25">
      <c r="B97" s="17">
        <v>43739</v>
      </c>
      <c r="C97" s="25">
        <v>6859.1985000000004</v>
      </c>
      <c r="F97" s="14" t="s">
        <v>58</v>
      </c>
      <c r="G97" s="25">
        <v>6312.2534999999998</v>
      </c>
      <c r="M97" s="16">
        <v>43709</v>
      </c>
    </row>
    <row r="98" spans="2:13" x14ac:dyDescent="0.25">
      <c r="B98" s="17">
        <v>43740</v>
      </c>
      <c r="C98" s="25">
        <v>7781.1824999999999</v>
      </c>
      <c r="F98" s="14" t="s">
        <v>82</v>
      </c>
      <c r="G98" s="25">
        <v>7718.2034999999996</v>
      </c>
      <c r="M98" s="16">
        <v>43710</v>
      </c>
    </row>
    <row r="99" spans="2:13" x14ac:dyDescent="0.25">
      <c r="B99" s="17">
        <v>43741</v>
      </c>
      <c r="C99" s="25">
        <v>5834.7765000000009</v>
      </c>
      <c r="F99" s="14" t="s">
        <v>358</v>
      </c>
      <c r="G99" s="25">
        <v>6319.0785000000005</v>
      </c>
      <c r="M99" s="16">
        <v>43711</v>
      </c>
    </row>
    <row r="100" spans="2:13" x14ac:dyDescent="0.25">
      <c r="B100" s="17">
        <v>43770</v>
      </c>
      <c r="C100" s="25">
        <v>4370.8980000000001</v>
      </c>
      <c r="F100" s="14" t="s">
        <v>201</v>
      </c>
      <c r="G100" s="25">
        <v>5465.3970000000008</v>
      </c>
      <c r="M100" s="16">
        <v>43739</v>
      </c>
    </row>
    <row r="101" spans="2:13" x14ac:dyDescent="0.25">
      <c r="B101" s="17">
        <v>43771</v>
      </c>
      <c r="C101" s="25">
        <v>9926.9940000000006</v>
      </c>
      <c r="F101" s="14" t="s">
        <v>158</v>
      </c>
      <c r="G101" s="25">
        <v>3944.6295000000005</v>
      </c>
      <c r="M101" s="16">
        <v>43740</v>
      </c>
    </row>
    <row r="102" spans="2:13" x14ac:dyDescent="0.25">
      <c r="B102" s="17">
        <v>43772</v>
      </c>
      <c r="C102" s="25">
        <v>4279.2749999999996</v>
      </c>
      <c r="F102" s="14" t="s">
        <v>471</v>
      </c>
      <c r="G102" s="25">
        <v>5864.8905000000013</v>
      </c>
      <c r="M102" s="16">
        <v>43741</v>
      </c>
    </row>
    <row r="103" spans="2:13" x14ac:dyDescent="0.25">
      <c r="B103" s="17">
        <v>43800</v>
      </c>
      <c r="C103" s="25">
        <v>9468.0704999999998</v>
      </c>
      <c r="F103" s="14" t="s">
        <v>321</v>
      </c>
      <c r="G103" s="25">
        <v>5264.2589999999991</v>
      </c>
      <c r="M103" s="16">
        <v>43770</v>
      </c>
    </row>
    <row r="104" spans="2:13" x14ac:dyDescent="0.25">
      <c r="B104" s="17">
        <v>43801</v>
      </c>
      <c r="C104" s="25">
        <v>6457.5630000000001</v>
      </c>
      <c r="F104" s="14" t="s">
        <v>610</v>
      </c>
      <c r="G104" s="25">
        <v>6483.2985000000008</v>
      </c>
      <c r="M104" s="16">
        <v>43771</v>
      </c>
    </row>
    <row r="105" spans="2:13" x14ac:dyDescent="0.25">
      <c r="B105" s="17">
        <v>43802</v>
      </c>
      <c r="C105" s="25">
        <v>5641.5449999999992</v>
      </c>
      <c r="F105" s="14" t="s">
        <v>427</v>
      </c>
      <c r="G105" s="25">
        <v>8696.9399999999987</v>
      </c>
      <c r="M105" s="16">
        <v>43772</v>
      </c>
    </row>
    <row r="106" spans="2:13" x14ac:dyDescent="0.25">
      <c r="B106" s="15" t="s">
        <v>2154</v>
      </c>
      <c r="C106" s="22">
        <v>659272.47750000004</v>
      </c>
      <c r="F106" s="17">
        <v>43466</v>
      </c>
      <c r="G106" s="25">
        <v>10991.168999999998</v>
      </c>
      <c r="M106" s="16">
        <v>43800</v>
      </c>
    </row>
    <row r="107" spans="2:13" x14ac:dyDescent="0.25">
      <c r="F107" s="17">
        <v>43467</v>
      </c>
      <c r="G107" s="25">
        <v>4240.4669999999996</v>
      </c>
      <c r="M107" s="16">
        <v>43801</v>
      </c>
    </row>
    <row r="108" spans="2:13" x14ac:dyDescent="0.25">
      <c r="B108" s="11" t="s">
        <v>2153</v>
      </c>
      <c r="C108" s="12" t="s">
        <v>2155</v>
      </c>
      <c r="F108" s="17">
        <v>43468</v>
      </c>
      <c r="G108" s="25">
        <v>5516.3849999999993</v>
      </c>
      <c r="M108" s="16">
        <v>43802</v>
      </c>
    </row>
    <row r="109" spans="2:13" x14ac:dyDescent="0.25">
      <c r="B109" s="13" t="s">
        <v>23</v>
      </c>
      <c r="C109" s="12">
        <v>399492.03000000014</v>
      </c>
      <c r="F109" s="17">
        <v>43497</v>
      </c>
      <c r="G109" s="25">
        <v>4525.1954999999998</v>
      </c>
      <c r="M109" s="10" t="s">
        <v>2154</v>
      </c>
    </row>
    <row r="110" spans="2:13" x14ac:dyDescent="0.25">
      <c r="B110" s="14" t="s">
        <v>48</v>
      </c>
      <c r="C110" s="25">
        <v>123692.70899999996</v>
      </c>
      <c r="F110" s="17">
        <v>43498</v>
      </c>
      <c r="G110" s="25">
        <v>10187.016</v>
      </c>
    </row>
    <row r="111" spans="2:13" x14ac:dyDescent="0.25">
      <c r="B111" s="14" t="s">
        <v>40</v>
      </c>
      <c r="C111" s="25">
        <v>136087.73850000006</v>
      </c>
      <c r="F111" s="17">
        <v>43499</v>
      </c>
      <c r="G111" s="25">
        <v>13066.578</v>
      </c>
    </row>
    <row r="112" spans="2:13" x14ac:dyDescent="0.25">
      <c r="B112" s="15" t="s">
        <v>2154</v>
      </c>
      <c r="C112" s="22">
        <v>659272.47750000015</v>
      </c>
      <c r="F112" s="17">
        <v>43525</v>
      </c>
      <c r="G112" s="25">
        <v>2750.4750000000004</v>
      </c>
    </row>
    <row r="113" spans="2:7" x14ac:dyDescent="0.25">
      <c r="F113" s="17">
        <v>43526</v>
      </c>
      <c r="G113" s="25">
        <v>12943.717500000002</v>
      </c>
    </row>
    <row r="114" spans="2:7" x14ac:dyDescent="0.25">
      <c r="B114" s="11" t="s">
        <v>2153</v>
      </c>
      <c r="C114" s="12" t="s">
        <v>2155</v>
      </c>
      <c r="F114" s="17">
        <v>43527</v>
      </c>
      <c r="G114" s="25">
        <v>11465.054999999998</v>
      </c>
    </row>
    <row r="115" spans="2:7" x14ac:dyDescent="0.25">
      <c r="B115" s="13" t="s">
        <v>84</v>
      </c>
      <c r="C115" s="12">
        <v>118324.83600000011</v>
      </c>
      <c r="F115" s="17">
        <v>43556</v>
      </c>
      <c r="G115" s="25">
        <v>4175.356499999999</v>
      </c>
    </row>
    <row r="116" spans="2:7" x14ac:dyDescent="0.25">
      <c r="B116" s="14" t="s">
        <v>30</v>
      </c>
      <c r="C116" s="25">
        <v>89879.023499999967</v>
      </c>
      <c r="F116" s="17">
        <v>43557</v>
      </c>
      <c r="G116" s="25">
        <v>5640.5370000000003</v>
      </c>
    </row>
    <row r="117" spans="2:7" x14ac:dyDescent="0.25">
      <c r="B117" s="14" t="s">
        <v>39</v>
      </c>
      <c r="C117" s="25">
        <v>220154.51849999995</v>
      </c>
      <c r="F117" s="17">
        <v>43558</v>
      </c>
      <c r="G117" s="25">
        <v>6523.1670000000004</v>
      </c>
    </row>
    <row r="118" spans="2:7" x14ac:dyDescent="0.25">
      <c r="B118" s="14" t="s">
        <v>55</v>
      </c>
      <c r="C118" s="25">
        <v>59129.637000000002</v>
      </c>
      <c r="F118" s="17">
        <v>43586</v>
      </c>
      <c r="G118" s="25">
        <v>5317.3680000000004</v>
      </c>
    </row>
    <row r="119" spans="2:7" x14ac:dyDescent="0.25">
      <c r="B119" s="14" t="s">
        <v>44</v>
      </c>
      <c r="C119" s="25">
        <v>69151.592999999993</v>
      </c>
      <c r="F119" s="17">
        <v>43587</v>
      </c>
      <c r="G119" s="25">
        <v>6431.5125000000007</v>
      </c>
    </row>
    <row r="120" spans="2:7" x14ac:dyDescent="0.25">
      <c r="B120" s="14" t="s">
        <v>22</v>
      </c>
      <c r="C120" s="25">
        <v>102632.8695</v>
      </c>
      <c r="F120" s="17">
        <v>43588</v>
      </c>
      <c r="G120" s="25">
        <v>10237.205999999998</v>
      </c>
    </row>
    <row r="121" spans="2:7" x14ac:dyDescent="0.25">
      <c r="B121" s="15" t="s">
        <v>2154</v>
      </c>
      <c r="C121" s="22">
        <v>659272.47750000004</v>
      </c>
      <c r="F121" s="17">
        <v>43617</v>
      </c>
      <c r="G121" s="25">
        <v>7151.8229999999994</v>
      </c>
    </row>
    <row r="122" spans="2:7" x14ac:dyDescent="0.25">
      <c r="F122" s="17">
        <v>43618</v>
      </c>
      <c r="G122" s="25">
        <v>5887.6125000000002</v>
      </c>
    </row>
    <row r="123" spans="2:7" x14ac:dyDescent="0.25">
      <c r="F123" s="17">
        <v>43619</v>
      </c>
      <c r="G123" s="25">
        <v>4913.1914999999999</v>
      </c>
    </row>
    <row r="124" spans="2:7" x14ac:dyDescent="0.25">
      <c r="F124" s="17">
        <v>43647</v>
      </c>
      <c r="G124" s="25">
        <v>4858.4970000000003</v>
      </c>
    </row>
    <row r="125" spans="2:7" x14ac:dyDescent="0.25">
      <c r="F125" s="17">
        <v>43648</v>
      </c>
      <c r="G125" s="25">
        <v>15748.540499999999</v>
      </c>
    </row>
    <row r="126" spans="2:7" x14ac:dyDescent="0.25">
      <c r="F126" s="17">
        <v>43649</v>
      </c>
      <c r="G126" s="25">
        <v>3497.0880000000006</v>
      </c>
    </row>
    <row r="127" spans="2:7" x14ac:dyDescent="0.25">
      <c r="F127" s="17">
        <v>43678</v>
      </c>
      <c r="G127" s="25">
        <v>13712.076000000001</v>
      </c>
    </row>
    <row r="128" spans="2:7" x14ac:dyDescent="0.25">
      <c r="F128" s="17">
        <v>43679</v>
      </c>
      <c r="G128" s="25">
        <v>8884.5119999999988</v>
      </c>
    </row>
    <row r="129" spans="6:7" x14ac:dyDescent="0.25">
      <c r="F129" s="17">
        <v>43680</v>
      </c>
      <c r="G129" s="25">
        <v>5702.2455</v>
      </c>
    </row>
    <row r="130" spans="6:7" x14ac:dyDescent="0.25">
      <c r="F130" s="17">
        <v>43709</v>
      </c>
      <c r="G130" s="25">
        <v>5529.8144999999995</v>
      </c>
    </row>
    <row r="131" spans="6:7" x14ac:dyDescent="0.25">
      <c r="F131" s="17">
        <v>43710</v>
      </c>
      <c r="G131" s="25">
        <v>6941.3399999999992</v>
      </c>
    </row>
    <row r="132" spans="6:7" x14ac:dyDescent="0.25">
      <c r="F132" s="17">
        <v>43711</v>
      </c>
      <c r="G132" s="25">
        <v>16000.477500000003</v>
      </c>
    </row>
    <row r="133" spans="6:7" x14ac:dyDescent="0.25">
      <c r="F133" s="17">
        <v>43739</v>
      </c>
      <c r="G133" s="25">
        <v>6859.1985000000004</v>
      </c>
    </row>
    <row r="134" spans="6:7" x14ac:dyDescent="0.25">
      <c r="F134" s="17">
        <v>43740</v>
      </c>
      <c r="G134" s="25">
        <v>7781.1824999999999</v>
      </c>
    </row>
    <row r="135" spans="6:7" x14ac:dyDescent="0.25">
      <c r="F135" s="17">
        <v>43741</v>
      </c>
      <c r="G135" s="25">
        <v>5834.7765000000009</v>
      </c>
    </row>
    <row r="136" spans="6:7" x14ac:dyDescent="0.25">
      <c r="F136" s="17">
        <v>43770</v>
      </c>
      <c r="G136" s="25">
        <v>4370.8980000000001</v>
      </c>
    </row>
    <row r="137" spans="6:7" x14ac:dyDescent="0.25">
      <c r="F137" s="17">
        <v>43771</v>
      </c>
      <c r="G137" s="25">
        <v>9926.9940000000006</v>
      </c>
    </row>
    <row r="138" spans="6:7" x14ac:dyDescent="0.25">
      <c r="F138" s="17">
        <v>43772</v>
      </c>
      <c r="G138" s="25">
        <v>4279.2749999999996</v>
      </c>
    </row>
    <row r="139" spans="6:7" x14ac:dyDescent="0.25">
      <c r="F139" s="17">
        <v>43800</v>
      </c>
      <c r="G139" s="25">
        <v>9468.0704999999998</v>
      </c>
    </row>
    <row r="140" spans="6:7" x14ac:dyDescent="0.25">
      <c r="F140" s="17">
        <v>43801</v>
      </c>
      <c r="G140" s="25">
        <v>6457.5630000000001</v>
      </c>
    </row>
    <row r="141" spans="6:7" x14ac:dyDescent="0.25">
      <c r="F141" s="17">
        <v>43802</v>
      </c>
      <c r="G141" s="25">
        <v>5641.5449999999992</v>
      </c>
    </row>
    <row r="142" spans="6:7" x14ac:dyDescent="0.25">
      <c r="F142" s="15" t="s">
        <v>2154</v>
      </c>
      <c r="G142" s="22">
        <v>659272.47750000004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EFB8-A176-45E0-BE2D-627C388A7937}">
  <dimension ref="A1"/>
  <sheetViews>
    <sheetView showGridLines="0" tabSelected="1" zoomScale="64" zoomScaleNormal="36" workbookViewId="0">
      <selection activeCell="Z19" sqref="Z19"/>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RealMart_Sales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HEMALATHA</dc:creator>
  <cp:lastModifiedBy>konduru hemalatha</cp:lastModifiedBy>
  <dcterms:created xsi:type="dcterms:W3CDTF">2026-08-29T05:05:44Z</dcterms:created>
  <dcterms:modified xsi:type="dcterms:W3CDTF">2026-09-01T01:41:01Z</dcterms:modified>
</cp:coreProperties>
</file>